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EVM" sheetId="1" r:id="rId4"/>
    <sheet state="visible" name="SPRINT 2" sheetId="2" r:id="rId5"/>
    <sheet state="visible" name="SPRINT 3" sheetId="3" r:id="rId6"/>
    <sheet state="visible" name="SPRINT 4" sheetId="4" r:id="rId7"/>
    <sheet state="visible" name="Hoja1" sheetId="5" r:id="rId8"/>
    <sheet state="visible" name="Ejemplo" sheetId="6" r:id="rId9"/>
  </sheets>
  <definedNames/>
  <calcPr/>
  <extLst>
    <ext uri="GoogleSheetsCustomDataVersion2">
      <go:sheetsCustomData xmlns:go="http://customooxmlschemas.google.com/" r:id="rId10" roundtripDataChecksum="6GhtDoMD3zmaDJzmspac+oJ8Ak7RqcF3vIObcSSE/0c="/>
    </ext>
  </extLst>
</workbook>
</file>

<file path=xl/sharedStrings.xml><?xml version="1.0" encoding="utf-8"?>
<sst xmlns="http://schemas.openxmlformats.org/spreadsheetml/2006/main" count="263" uniqueCount="92">
  <si>
    <t>Gestión del Valor Ganado</t>
  </si>
  <si>
    <t>Valor Ganado</t>
  </si>
  <si>
    <t>Proyecto:</t>
  </si>
  <si>
    <t>Modelo de análisis de conversión para e-commerce</t>
  </si>
  <si>
    <t>ID:</t>
  </si>
  <si>
    <t>Código identificador del proyecto.</t>
  </si>
  <si>
    <t>Fecha de Inicio</t>
  </si>
  <si>
    <t>16 de febrero del 2026</t>
  </si>
  <si>
    <t>Fecha Fin:</t>
  </si>
  <si>
    <t>30 de mayo del 2026</t>
  </si>
  <si>
    <t>Fecha de Corte:</t>
  </si>
  <si>
    <t>Fecha a la cual se reporta el valor ganado</t>
  </si>
  <si>
    <t>Año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</si>
  <si>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</si>
  <si>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</si>
  <si>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</si>
  <si>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</si>
  <si>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</si>
  <si>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</si>
  <si>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</si>
  <si>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</si>
  <si>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</si>
  <si>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</si>
  <si>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</si>
  <si>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</si>
  <si>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Valor Planificado</t>
  </si>
  <si>
    <t>Valor Planificado Acumulado</t>
  </si>
  <si>
    <t>PV</t>
  </si>
  <si>
    <t>Costo Real</t>
  </si>
  <si>
    <t>Costo Real Acumulado</t>
  </si>
  <si>
    <t>AC</t>
  </si>
  <si>
    <t>Porcentaje de avance completado del mes</t>
  </si>
  <si>
    <t>%comp</t>
  </si>
  <si>
    <t xml:space="preserve">Valor ganado del trabajo realizado  </t>
  </si>
  <si>
    <t>Valor ganado del trabajo realizado acumulado</t>
  </si>
  <si>
    <t>EV</t>
  </si>
  <si>
    <t xml:space="preserve"> </t>
  </si>
  <si>
    <r>
      <rPr>
        <rFont val="Calibri"/>
        <b val="0"/>
        <color theme="0"/>
        <sz val="11.0"/>
      </rPr>
      <t>Costo total prespuestado (</t>
    </r>
    <r>
      <rPr>
        <rFont val="Calibri"/>
        <b/>
        <color theme="0"/>
        <sz val="11.0"/>
      </rPr>
      <t>BAC</t>
    </r>
    <r>
      <rPr>
        <rFont val="Calibri"/>
        <b val="0"/>
        <color theme="0"/>
        <sz val="11.0"/>
      </rPr>
      <t>)</t>
    </r>
  </si>
  <si>
    <t>Indices y variaciones</t>
  </si>
  <si>
    <t>Valor</t>
  </si>
  <si>
    <r>
      <rPr>
        <rFont val="Verdana"/>
        <color theme="1"/>
        <sz val="10.0"/>
      </rPr>
      <t>Variación del costo (CV/Cost Variance) [</t>
    </r>
    <r>
      <rPr>
        <rFont val="Verdana"/>
        <b/>
        <color theme="1"/>
        <sz val="10.0"/>
      </rPr>
      <t>CV=EV-AC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</si>
  <si>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Variación del cronograma (SV/Schedule Variance)                    [</t>
    </r>
    <r>
      <rPr>
        <rFont val="Verdana"/>
        <b/>
        <color theme="1"/>
        <sz val="10.0"/>
      </rPr>
      <t>SV=EV-PV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</si>
  <si>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Índice de desempeño del costo (CPI/Cost Performance Index)</t>
    </r>
    <r>
      <rPr>
        <rFont val="Verdana"/>
        <b/>
        <color theme="1"/>
        <sz val="10.0"/>
      </rPr>
      <t xml:space="preserve"> </t>
    </r>
    <r>
      <rPr>
        <rFont val="Verdana"/>
        <color theme="1"/>
        <sz val="10.0"/>
      </rPr>
      <t>[</t>
    </r>
    <r>
      <rPr>
        <rFont val="Verdana"/>
        <b/>
        <color theme="1"/>
        <sz val="10.0"/>
      </rPr>
      <t>CPI = EV/AC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</si>
  <si>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Índice de desempeño del cronograma del proyecto (SPI/Schedule Performance Index) [</t>
    </r>
    <r>
      <rPr>
        <rFont val="Verdana"/>
        <b/>
        <color theme="1"/>
        <sz val="10.0"/>
      </rPr>
      <t>SPI = EV/PV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</si>
  <si>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Estimación a la conclusión (EAC/Estimate at Completion)           [</t>
    </r>
    <r>
      <rPr>
        <rFont val="Verdana"/>
        <b/>
        <color theme="1"/>
        <sz val="10.0"/>
      </rPr>
      <t>EAC = BAC/CPI</t>
    </r>
    <r>
      <rPr>
        <rFont val="Verdana"/>
        <color theme="1"/>
        <sz val="10.0"/>
      </rPr>
      <t>]</t>
    </r>
  </si>
  <si>
    <t>CV negativa, el proyecto está sobre gastado</t>
  </si>
  <si>
    <t>CV positiva, el proyecto ha gastado menos de lo presupuestado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</si>
  <si>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</si>
  <si>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</si>
  <si>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</si>
  <si>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</si>
  <si>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</si>
  <si>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</si>
  <si>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r>
      <rPr>
        <rFont val="Calibri"/>
        <b val="0"/>
        <color theme="0"/>
        <sz val="11.0"/>
      </rPr>
      <t>Costo total prespuestado (</t>
    </r>
    <r>
      <rPr>
        <rFont val="Calibri"/>
        <b/>
        <color theme="0"/>
        <sz val="11.0"/>
      </rPr>
      <t>BAC</t>
    </r>
    <r>
      <rPr>
        <rFont val="Calibri"/>
        <b val="0"/>
        <color theme="0"/>
        <sz val="11.0"/>
      </rPr>
      <t>)</t>
    </r>
  </si>
  <si>
    <r>
      <rPr>
        <rFont val="Verdana"/>
        <color theme="1"/>
        <sz val="10.0"/>
      </rPr>
      <t>Variación del costo (CV/Cost Variance) [</t>
    </r>
    <r>
      <rPr>
        <rFont val="Verdana"/>
        <b/>
        <color theme="1"/>
        <sz val="10.0"/>
      </rPr>
      <t>CV=EV-AC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</si>
  <si>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Variación del cronograma (SV/Schedule Variance)                    [</t>
    </r>
    <r>
      <rPr>
        <rFont val="Verdana"/>
        <b/>
        <color theme="1"/>
        <sz val="10.0"/>
      </rPr>
      <t>SV=EV-PV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</si>
  <si>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Índice de desempeño del costo (CPI/Cost Performance Index)</t>
    </r>
    <r>
      <rPr>
        <rFont val="Verdana"/>
        <b/>
        <color theme="1"/>
        <sz val="10.0"/>
      </rPr>
      <t xml:space="preserve"> </t>
    </r>
    <r>
      <rPr>
        <rFont val="Verdana"/>
        <color theme="1"/>
        <sz val="10.0"/>
      </rPr>
      <t>[</t>
    </r>
    <r>
      <rPr>
        <rFont val="Verdana"/>
        <b/>
        <color theme="1"/>
        <sz val="10.0"/>
      </rPr>
      <t>CPI = EV/AC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</si>
  <si>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Índice de desempeño del cronograma del proyecto (SPI/Schedule Performance Index) [</t>
    </r>
    <r>
      <rPr>
        <rFont val="Verdana"/>
        <b/>
        <color theme="1"/>
        <sz val="10.0"/>
      </rPr>
      <t>SPI = EV/PV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</si>
  <si>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Estimación a la conclusión (EAC/Estimate at Completion)           [</t>
    </r>
    <r>
      <rPr>
        <rFont val="Verdana"/>
        <b/>
        <color theme="1"/>
        <sz val="10.0"/>
      </rPr>
      <t>EAC = BAC/CPI</t>
    </r>
    <r>
      <rPr>
        <rFont val="Verdana"/>
        <color theme="1"/>
        <sz val="10.0"/>
      </rPr>
      <t>]</t>
    </r>
  </si>
  <si>
    <r>
      <rPr>
        <rFont val="Calibri"/>
        <b val="0"/>
        <color theme="0"/>
        <sz val="11.0"/>
      </rPr>
      <t>Costo total prespuestado (</t>
    </r>
    <r>
      <rPr>
        <rFont val="Calibri"/>
        <b/>
        <color theme="0"/>
        <sz val="11.0"/>
      </rPr>
      <t>BAC</t>
    </r>
    <r>
      <rPr>
        <rFont val="Calibri"/>
        <b val="0"/>
        <color theme="0"/>
        <sz val="11.0"/>
      </rPr>
      <t>)</t>
    </r>
  </si>
  <si>
    <r>
      <rPr>
        <rFont val="Verdana"/>
        <color theme="1"/>
        <sz val="10.0"/>
      </rPr>
      <t>Variación del costo (CV/Cost Variance) [</t>
    </r>
    <r>
      <rPr>
        <rFont val="Verdana"/>
        <b/>
        <color theme="1"/>
        <sz val="10.0"/>
      </rPr>
      <t>CV=EV-AC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</si>
  <si>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Variación del cronograma (SV/Schedule Variance)                    [</t>
    </r>
    <r>
      <rPr>
        <rFont val="Verdana"/>
        <b/>
        <color theme="1"/>
        <sz val="10.0"/>
      </rPr>
      <t>SV=EV-PV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</si>
  <si>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Índice de desempeño del costo (CPI/Cost Performance Index)</t>
    </r>
    <r>
      <rPr>
        <rFont val="Verdana"/>
        <b/>
        <color theme="1"/>
        <sz val="10.0"/>
      </rPr>
      <t xml:space="preserve"> </t>
    </r>
    <r>
      <rPr>
        <rFont val="Verdana"/>
        <color theme="1"/>
        <sz val="10.0"/>
      </rPr>
      <t>[</t>
    </r>
    <r>
      <rPr>
        <rFont val="Verdana"/>
        <b/>
        <color theme="1"/>
        <sz val="10.0"/>
      </rPr>
      <t>CPI = EV/AC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</si>
  <si>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Índice de desempeño del cronograma del proyecto (SPI/Schedule Performance Index) [</t>
    </r>
    <r>
      <rPr>
        <rFont val="Verdana"/>
        <b/>
        <color theme="1"/>
        <sz val="10.0"/>
      </rPr>
      <t>SPI = EV/PV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</si>
  <si>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Estimación a la conclusión (EAC/Estimate at Completion)           [</t>
    </r>
    <r>
      <rPr>
        <rFont val="Verdana"/>
        <b/>
        <color theme="1"/>
        <sz val="10.0"/>
      </rPr>
      <t>EAC = BAC/CPI</t>
    </r>
    <r>
      <rPr>
        <rFont val="Verdana"/>
        <color theme="1"/>
        <sz val="10.0"/>
      </rPr>
      <t>]</t>
    </r>
  </si>
  <si>
    <r>
      <rPr>
        <rFont val="Calibri"/>
        <b val="0"/>
        <color theme="0"/>
        <sz val="11.0"/>
      </rPr>
      <t>Costo total prespuestado (</t>
    </r>
    <r>
      <rPr>
        <rFont val="Calibri"/>
        <b/>
        <color theme="0"/>
        <sz val="11.0"/>
      </rPr>
      <t>BAC</t>
    </r>
    <r>
      <rPr>
        <rFont val="Calibri"/>
        <b val="0"/>
        <color theme="0"/>
        <sz val="11.0"/>
      </rPr>
      <t>)</t>
    </r>
  </si>
  <si>
    <r>
      <rPr>
        <rFont val="Verdana"/>
        <color theme="1"/>
        <sz val="10.0"/>
      </rPr>
      <t>Variación del costo (CV/Cost Variance) [</t>
    </r>
    <r>
      <rPr>
        <rFont val="Verdana"/>
        <b/>
        <color theme="1"/>
        <sz val="10.0"/>
      </rPr>
      <t>CV=EV-AC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</si>
  <si>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Variación del cronograma (SV/Schedule Variance)                    [</t>
    </r>
    <r>
      <rPr>
        <rFont val="Verdana"/>
        <b/>
        <color theme="1"/>
        <sz val="10.0"/>
      </rPr>
      <t>SV=EV-PV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</si>
  <si>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Índice de desempeño del costo (CPI/Cost Performance Index)</t>
    </r>
    <r>
      <rPr>
        <rFont val="Verdana"/>
        <b/>
        <color theme="1"/>
        <sz val="10.0"/>
      </rPr>
      <t xml:space="preserve"> </t>
    </r>
    <r>
      <rPr>
        <rFont val="Verdana"/>
        <color theme="1"/>
        <sz val="10.0"/>
      </rPr>
      <t>[</t>
    </r>
    <r>
      <rPr>
        <rFont val="Verdana"/>
        <b/>
        <color theme="1"/>
        <sz val="10.0"/>
      </rPr>
      <t>CPI = EV/AC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</si>
  <si>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Índice de desempeño del cronograma del proyecto (SPI/Schedule Performance Index) [</t>
    </r>
    <r>
      <rPr>
        <rFont val="Verdana"/>
        <b/>
        <color theme="1"/>
        <sz val="10.0"/>
      </rPr>
      <t>SPI = EV/PV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</si>
  <si>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Estimación a la conclusión (EAC/Estimate at Completion)           [</t>
    </r>
    <r>
      <rPr>
        <rFont val="Verdana"/>
        <b/>
        <color theme="1"/>
        <sz val="10.0"/>
      </rPr>
      <t>EAC = BAC/CPI</t>
    </r>
    <r>
      <rPr>
        <rFont val="Verdana"/>
        <color theme="1"/>
        <sz val="10.0"/>
      </rPr>
      <t>]</t>
    </r>
  </si>
  <si>
    <t>Apoyo Educativo</t>
  </si>
  <si>
    <t>HT2011-12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</si>
  <si>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</si>
  <si>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</si>
  <si>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</si>
  <si>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</si>
  <si>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</si>
  <si>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</si>
  <si>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</si>
  <si>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</si>
  <si>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</si>
  <si>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</si>
  <si>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</si>
  <si>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</si>
  <si>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[EV= % comp x BAC]</t>
  </si>
  <si>
    <r>
      <rPr>
        <rFont val="Calibri"/>
        <b val="0"/>
        <color theme="0"/>
        <sz val="11.0"/>
      </rPr>
      <t>Costo total prespuestado (</t>
    </r>
    <r>
      <rPr>
        <rFont val="Calibri"/>
        <b/>
        <color theme="0"/>
        <sz val="11.0"/>
      </rPr>
      <t>BAC</t>
    </r>
    <r>
      <rPr>
        <rFont val="Calibri"/>
        <b val="0"/>
        <color theme="0"/>
        <sz val="11.0"/>
      </rPr>
      <t>)</t>
    </r>
  </si>
  <si>
    <r>
      <rPr>
        <rFont val="Verdana"/>
        <color theme="1"/>
        <sz val="10.0"/>
      </rPr>
      <t>Variación del costo (CV/Cost Variance) [</t>
    </r>
    <r>
      <rPr>
        <rFont val="Verdana"/>
        <b/>
        <color theme="1"/>
        <sz val="10.0"/>
      </rPr>
      <t>CV=EV-AC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</si>
  <si>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Variación del cronograma (SV/Schedule Variance)         [</t>
    </r>
    <r>
      <rPr>
        <rFont val="Verdana"/>
        <b/>
        <color theme="1"/>
        <sz val="10.0"/>
      </rPr>
      <t>SV=EV-PV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</si>
  <si>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 xml:space="preserve">Índice de desempeño del costo (CPI/Cost Performance Index)  </t>
    </r>
    <r>
      <rPr>
        <rFont val="Verdana"/>
        <b/>
        <color theme="1"/>
        <sz val="10.0"/>
      </rPr>
      <t xml:space="preserve"> </t>
    </r>
    <r>
      <rPr>
        <rFont val="Verdana"/>
        <color theme="1"/>
        <sz val="10.0"/>
      </rPr>
      <t>[</t>
    </r>
    <r>
      <rPr>
        <rFont val="Verdana"/>
        <b/>
        <color theme="1"/>
        <sz val="10.0"/>
      </rPr>
      <t>CPI = EV/AC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</si>
  <si>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Índice de desempeño del cronograma del proyecto (SPI/Schedule Performance Index) [</t>
    </r>
    <r>
      <rPr>
        <rFont val="Verdana"/>
        <b/>
        <color theme="1"/>
        <sz val="10.0"/>
      </rPr>
      <t>SPI = EV/PV</t>
    </r>
    <r>
      <rPr>
        <rFont val="Verdana"/>
        <color theme="1"/>
        <sz val="10.0"/>
      </rPr>
      <t>]</t>
    </r>
  </si>
  <si>
    <r>
      <rPr>
        <rFont val="Verdana"/>
        <color theme="1"/>
        <sz val="10.0"/>
      </rPr>
      <t>Estimación a la conclusión (EAC/Estimate at Completion)        [</t>
    </r>
    <r>
      <rPr>
        <rFont val="Verdana"/>
        <b/>
        <color theme="1"/>
        <sz val="10.0"/>
      </rPr>
      <t>EAC = BAC/CPI</t>
    </r>
    <r>
      <rPr>
        <rFont val="Verdana"/>
        <color theme="1"/>
        <sz val="10.0"/>
      </rPr>
      <t>]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</si>
</sst>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0.0"/>
    <numFmt numFmtId="166" formatCode="_-&quot;$&quot;* #,##0_-;\-&quot;$&quot;* #,##0_-;_-&quot;$&quot;* &quot;-&quot;??_-;_-@"/>
    <numFmt numFmtId="167" formatCode="0.0000"/>
    <numFmt numFmtId="168" formatCode="#,##0_ ;[Red]\-#,##0\ "/>
    <numFmt numFmtId="169" formatCode="_-* #,##0_-;\-* #,##0_-;_-* &quot;-&quot;??_-;_-@"/>
    <numFmt numFmtId="170" formatCode="0.0%"/>
  </numFmts>
  <fonts count="13">
    <font>
      <sz val="11.0"/>
      <color theme="1"/>
      <name val="Calibri"/>
      <scheme val="minor"/>
    </font>
    <font>
      <sz val="10.0"/>
      <color theme="1"/>
      <name val="Trebuchet MS"/>
    </font>
    <font>
      <b/>
      <sz val="16.0"/>
      <color theme="1"/>
      <name val="Trebuchet MS"/>
    </font>
    <font>
      <b/>
      <sz val="10.0"/>
      <color theme="1"/>
      <name val="Trebuchet MS"/>
    </font>
    <font>
      <b/>
      <sz val="10.0"/>
      <color theme="1"/>
      <name val="Verdana"/>
    </font>
    <font/>
    <font>
      <b/>
      <sz val="16.0"/>
      <color theme="0"/>
      <name val="Calibri"/>
    </font>
    <font>
      <b/>
      <sz val="11.0"/>
      <color theme="0"/>
      <name val="Calibri"/>
    </font>
    <font>
      <sz val="11.0"/>
      <color theme="1"/>
      <name val="Calibri"/>
    </font>
    <font>
      <b/>
      <sz val="9.0"/>
      <color theme="0"/>
      <name val="Verdana"/>
    </font>
    <font>
      <sz val="9.0"/>
      <color theme="1"/>
      <name val="Verdana"/>
    </font>
    <font>
      <sz val="12.0"/>
      <color theme="1"/>
      <name val="Verdana"/>
    </font>
    <font>
      <sz val="10.0"/>
      <color theme="1"/>
      <name val="Verdana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00376C"/>
        <bgColor rgb="FF00376C"/>
      </patternFill>
    </fill>
    <fill>
      <patternFill patternType="solid">
        <fgColor rgb="FFE36C09"/>
        <bgColor rgb="FFE36C09"/>
      </patternFill>
    </fill>
    <fill>
      <patternFill patternType="solid">
        <fgColor theme="4"/>
        <bgColor theme="4"/>
      </patternFill>
    </fill>
  </fills>
  <borders count="38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left" vertical="center"/>
    </xf>
    <xf borderId="1" fillId="2" fontId="3" numFmtId="0" xfId="0" applyAlignment="1" applyBorder="1" applyFill="1" applyFont="1">
      <alignment vertical="center"/>
    </xf>
    <xf borderId="2" fillId="2" fontId="4" numFmtId="1" xfId="0" applyAlignment="1" applyBorder="1" applyFont="1" applyNumberFormat="1">
      <alignment horizontal="center" shrinkToFit="0" vertical="top" wrapText="1"/>
    </xf>
    <xf borderId="3" fillId="0" fontId="5" numFmtId="0" xfId="0" applyBorder="1" applyFont="1"/>
    <xf borderId="0" fillId="0" fontId="3" numFmtId="164" xfId="0" applyAlignment="1" applyFont="1" applyNumberFormat="1">
      <alignment horizontal="left" vertical="center"/>
    </xf>
    <xf borderId="1" fillId="2" fontId="3" numFmtId="0" xfId="0" applyAlignment="1" applyBorder="1" applyFont="1">
      <alignment horizontal="left" vertical="center"/>
    </xf>
    <xf borderId="2" fillId="2" fontId="4" numFmtId="164" xfId="0" applyAlignment="1" applyBorder="1" applyFont="1" applyNumberFormat="1">
      <alignment horizontal="center" shrinkToFit="0" vertical="top" wrapText="1"/>
    </xf>
    <xf borderId="2" fillId="3" fontId="6" numFmtId="0" xfId="0" applyAlignment="1" applyBorder="1" applyFill="1" applyFont="1">
      <alignment horizontal="center"/>
    </xf>
    <xf borderId="4" fillId="0" fontId="5" numFmtId="0" xfId="0" applyBorder="1" applyFont="1"/>
    <xf borderId="5" fillId="4" fontId="7" numFmtId="0" xfId="0" applyAlignment="1" applyBorder="1" applyFill="1" applyFont="1">
      <alignment horizontal="right"/>
    </xf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4" fontId="7" numFmtId="0" xfId="0" applyAlignment="1" applyBorder="1" applyFont="1">
      <alignment horizontal="right"/>
    </xf>
    <xf borderId="10" fillId="0" fontId="8" numFmtId="0" xfId="0" applyBorder="1" applyFont="1"/>
    <xf borderId="11" fillId="0" fontId="8" numFmtId="0" xfId="0" applyBorder="1" applyFont="1"/>
    <xf borderId="12" fillId="4" fontId="7" numFmtId="0" xfId="0" applyAlignment="1" applyBorder="1" applyFont="1">
      <alignment horizontal="right"/>
    </xf>
    <xf borderId="6" fillId="0" fontId="8" numFmtId="164" xfId="0" applyAlignment="1" applyBorder="1" applyFont="1" applyNumberFormat="1">
      <alignment horizontal="left"/>
    </xf>
    <xf borderId="13" fillId="0" fontId="5" numFmtId="0" xfId="0" applyBorder="1" applyFont="1"/>
    <xf borderId="14" fillId="4" fontId="7" numFmtId="0" xfId="0" applyBorder="1" applyFont="1"/>
    <xf borderId="15" fillId="4" fontId="7" numFmtId="0" xfId="0" applyBorder="1" applyFont="1"/>
    <xf borderId="6" fillId="0" fontId="8" numFmtId="0" xfId="0" applyAlignment="1" applyBorder="1" applyFont="1">
      <alignment horizontal="left"/>
    </xf>
    <xf borderId="10" fillId="0" fontId="5" numFmtId="0" xfId="0" applyBorder="1" applyFont="1"/>
    <xf borderId="16" fillId="0" fontId="8" numFmtId="164" xfId="0" applyBorder="1" applyFont="1" applyNumberFormat="1"/>
    <xf borderId="17" fillId="0" fontId="8" numFmtId="164" xfId="0" applyBorder="1" applyFont="1" applyNumberFormat="1"/>
    <xf borderId="18" fillId="0" fontId="8" numFmtId="164" xfId="0" applyBorder="1" applyFont="1" applyNumberFormat="1"/>
    <xf borderId="19" fillId="0" fontId="8" numFmtId="0" xfId="0" applyBorder="1" applyFont="1"/>
    <xf borderId="0" fillId="0" fontId="7" numFmtId="0" xfId="0" applyAlignment="1" applyFont="1">
      <alignment horizontal="right"/>
    </xf>
    <xf borderId="0" fillId="0" fontId="8" numFmtId="0" xfId="0" applyAlignment="1" applyFont="1">
      <alignment horizontal="left"/>
    </xf>
    <xf borderId="1" fillId="2" fontId="8" numFmtId="0" xfId="0" applyBorder="1" applyFont="1"/>
    <xf borderId="0" fillId="0" fontId="8" numFmtId="165" xfId="0" applyFont="1" applyNumberFormat="1"/>
    <xf borderId="5" fillId="4" fontId="8" numFmtId="0" xfId="0" applyBorder="1" applyFont="1"/>
    <xf borderId="20" fillId="4" fontId="7" numFmtId="0" xfId="0" applyBorder="1" applyFont="1"/>
    <xf borderId="21" fillId="4" fontId="7" numFmtId="0" xfId="0" applyAlignment="1" applyBorder="1" applyFont="1">
      <alignment horizontal="center"/>
    </xf>
    <xf borderId="7" fillId="0" fontId="5" numFmtId="0" xfId="0" applyBorder="1" applyFont="1"/>
    <xf borderId="8" fillId="0" fontId="5" numFmtId="0" xfId="0" applyBorder="1" applyFont="1"/>
    <xf borderId="9" fillId="4" fontId="8" numFmtId="0" xfId="0" applyBorder="1" applyFont="1"/>
    <xf borderId="22" fillId="4" fontId="7" numFmtId="0" xfId="0" applyBorder="1" applyFont="1"/>
    <xf borderId="23" fillId="4" fontId="7" numFmtId="0" xfId="0" applyAlignment="1" applyBorder="1" applyFont="1">
      <alignment horizontal="center"/>
    </xf>
    <xf borderId="24" fillId="0" fontId="8" numFmtId="0" xfId="0" applyBorder="1" applyFont="1"/>
    <xf borderId="25" fillId="5" fontId="9" numFmtId="3" xfId="0" applyAlignment="1" applyBorder="1" applyFill="1" applyFont="1" applyNumberFormat="1">
      <alignment horizontal="center" shrinkToFit="0" vertical="top" wrapText="1"/>
    </xf>
    <xf borderId="26" fillId="5" fontId="9" numFmtId="3" xfId="0" applyAlignment="1" applyBorder="1" applyFont="1" applyNumberFormat="1">
      <alignment horizontal="center" shrinkToFit="0" vertical="top" wrapText="1"/>
    </xf>
    <xf borderId="27" fillId="5" fontId="9" numFmtId="3" xfId="0" applyAlignment="1" applyBorder="1" applyFont="1" applyNumberFormat="1">
      <alignment horizontal="center" shrinkToFit="0" vertical="top" wrapText="1"/>
    </xf>
    <xf borderId="23" fillId="4" fontId="7" numFmtId="0" xfId="0" applyAlignment="1" applyBorder="1" applyFont="1">
      <alignment horizontal="center"/>
    </xf>
    <xf borderId="28" fillId="2" fontId="10" numFmtId="3" xfId="0" applyAlignment="1" applyBorder="1" applyFont="1" applyNumberFormat="1">
      <alignment horizontal="right" shrinkToFit="0" vertical="top" wrapText="1"/>
    </xf>
    <xf borderId="29" fillId="2" fontId="10" numFmtId="3" xfId="0" applyAlignment="1" applyBorder="1" applyFont="1" applyNumberFormat="1">
      <alignment horizontal="right" shrinkToFit="0" vertical="top" wrapText="1"/>
    </xf>
    <xf borderId="23" fillId="2" fontId="8" numFmtId="166" xfId="0" applyBorder="1" applyFont="1" applyNumberFormat="1"/>
    <xf borderId="30" fillId="2" fontId="8" numFmtId="166" xfId="0" applyBorder="1" applyFont="1" applyNumberFormat="1"/>
    <xf borderId="23" fillId="2" fontId="10" numFmtId="3" xfId="0" applyAlignment="1" applyBorder="1" applyFont="1" applyNumberFormat="1">
      <alignment horizontal="right" shrinkToFit="0" vertical="top" wrapText="1"/>
    </xf>
    <xf borderId="31" fillId="2" fontId="10" numFmtId="3" xfId="0" applyAlignment="1" applyBorder="1" applyFont="1" applyNumberFormat="1">
      <alignment horizontal="right" shrinkToFit="0" vertical="top" wrapText="1"/>
    </xf>
    <xf borderId="32" fillId="2" fontId="8" numFmtId="10" xfId="0" applyAlignment="1" applyBorder="1" applyFont="1" applyNumberFormat="1">
      <alignment horizontal="right" shrinkToFit="0" vertical="top" wrapText="1"/>
    </xf>
    <xf borderId="23" fillId="2" fontId="8" numFmtId="10" xfId="0" applyAlignment="1" applyBorder="1" applyFont="1" applyNumberFormat="1">
      <alignment horizontal="right" shrinkToFit="0" vertical="top" wrapText="1"/>
    </xf>
    <xf borderId="23" fillId="2" fontId="8" numFmtId="3" xfId="0" applyAlignment="1" applyBorder="1" applyFont="1" applyNumberFormat="1">
      <alignment horizontal="right" shrinkToFit="0" vertical="top" wrapText="1"/>
    </xf>
    <xf borderId="22" fillId="2" fontId="8" numFmtId="3" xfId="0" applyAlignment="1" applyBorder="1" applyFont="1" applyNumberFormat="1">
      <alignment horizontal="right" shrinkToFit="0" vertical="top" wrapText="1"/>
    </xf>
    <xf borderId="33" fillId="4" fontId="7" numFmtId="0" xfId="0" applyAlignment="1" applyBorder="1" applyFont="1">
      <alignment horizontal="center"/>
    </xf>
    <xf borderId="0" fillId="0" fontId="11" numFmtId="0" xfId="0" applyAlignment="1" applyFont="1">
      <alignment horizontal="left"/>
    </xf>
    <xf borderId="25" fillId="4" fontId="7" numFmtId="0" xfId="0" applyAlignment="1" applyBorder="1" applyFont="1">
      <alignment horizontal="right"/>
    </xf>
    <xf borderId="31" fillId="2" fontId="8" numFmtId="166" xfId="0" applyBorder="1" applyFont="1" applyNumberFormat="1"/>
    <xf borderId="0" fillId="0" fontId="8" numFmtId="0" xfId="0" applyAlignment="1" applyFont="1">
      <alignment horizontal="right"/>
    </xf>
    <xf borderId="5" fillId="4" fontId="7" numFmtId="0" xfId="0" applyAlignment="1" applyBorder="1" applyFont="1">
      <alignment horizontal="center"/>
    </xf>
    <xf borderId="34" fillId="4" fontId="7" numFmtId="0" xfId="0" applyAlignment="1" applyBorder="1" applyFont="1">
      <alignment horizontal="center"/>
    </xf>
    <xf borderId="9" fillId="0" fontId="12" numFmtId="0" xfId="0" applyAlignment="1" applyBorder="1" applyFont="1">
      <alignment shrinkToFit="0" vertical="center" wrapText="1"/>
    </xf>
    <xf borderId="23" fillId="2" fontId="8" numFmtId="166" xfId="0" applyBorder="1" applyFont="1" applyNumberFormat="1"/>
    <xf borderId="0" fillId="0" fontId="8" numFmtId="167" xfId="0" applyFont="1" applyNumberFormat="1"/>
    <xf borderId="23" fillId="2" fontId="8" numFmtId="168" xfId="0" applyBorder="1" applyFont="1" applyNumberFormat="1"/>
    <xf borderId="31" fillId="0" fontId="10" numFmtId="2" xfId="0" applyAlignment="1" applyBorder="1" applyFont="1" applyNumberFormat="1">
      <alignment horizontal="right"/>
    </xf>
    <xf borderId="12" fillId="0" fontId="12" numFmtId="0" xfId="0" applyAlignment="1" applyBorder="1" applyFont="1">
      <alignment shrinkToFit="0" vertical="center" wrapText="1"/>
    </xf>
    <xf borderId="35" fillId="0" fontId="10" numFmtId="169" xfId="0" applyAlignment="1" applyBorder="1" applyFont="1" applyNumberFormat="1">
      <alignment horizontal="right"/>
    </xf>
    <xf borderId="0" fillId="0" fontId="10" numFmtId="0" xfId="0" applyAlignment="1" applyFont="1">
      <alignment vertical="center"/>
    </xf>
    <xf borderId="1" fillId="6" fontId="10" numFmtId="0" xfId="0" applyAlignment="1" applyBorder="1" applyFill="1" applyFont="1">
      <alignment vertical="center"/>
    </xf>
    <xf borderId="23" fillId="2" fontId="10" numFmtId="3" xfId="0" applyAlignment="1" applyBorder="1" applyFont="1" applyNumberFormat="1">
      <alignment horizontal="right" readingOrder="0" shrinkToFit="0" vertical="top" wrapText="1"/>
    </xf>
    <xf borderId="22" fillId="2" fontId="8" numFmtId="10" xfId="0" applyAlignment="1" applyBorder="1" applyFont="1" applyNumberFormat="1">
      <alignment horizontal="right" shrinkToFit="0" vertical="top" wrapText="1"/>
    </xf>
    <xf borderId="36" fillId="0" fontId="8" numFmtId="0" xfId="0" applyBorder="1" applyFont="1"/>
    <xf borderId="16" fillId="0" fontId="8" numFmtId="164" xfId="0" applyAlignment="1" applyBorder="1" applyFont="1" applyNumberFormat="1">
      <alignment horizontal="center"/>
    </xf>
    <xf borderId="37" fillId="0" fontId="5" numFmtId="0" xfId="0" applyBorder="1" applyFont="1"/>
    <xf borderId="17" fillId="0" fontId="5" numFmtId="0" xfId="0" applyBorder="1" applyFont="1"/>
    <xf borderId="19" fillId="0" fontId="5" numFmtId="0" xfId="0" applyBorder="1" applyFont="1"/>
    <xf borderId="31" fillId="4" fontId="7" numFmtId="0" xfId="0" applyAlignment="1" applyBorder="1" applyFont="1">
      <alignment horizontal="center"/>
    </xf>
    <xf borderId="32" fillId="2" fontId="10" numFmtId="170" xfId="0" applyAlignment="1" applyBorder="1" applyFont="1" applyNumberFormat="1">
      <alignment horizontal="right" shrinkToFit="0" vertical="top" wrapText="1"/>
    </xf>
    <xf borderId="23" fillId="2" fontId="10" numFmtId="170" xfId="0" applyAlignment="1" applyBorder="1" applyFont="1" applyNumberFormat="1">
      <alignment horizontal="right" shrinkToFit="0" vertical="top" wrapText="1"/>
    </xf>
    <xf borderId="22" fillId="2" fontId="10" numFmtId="170" xfId="0" applyAlignment="1" applyBorder="1" applyFont="1" applyNumberFormat="1">
      <alignment horizontal="right" shrinkToFit="0" vertical="top" wrapText="1"/>
    </xf>
    <xf borderId="0" fillId="0" fontId="12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E36C09"/>
          <bgColor rgb="FFE36C09"/>
        </patternFill>
      </fill>
      <border/>
    </dxf>
    <dxf>
      <font/>
      <fill>
        <patternFill patternType="solid">
          <fgColor rgb="FFE36C09"/>
          <bgColor rgb="FFE36C0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5">
    <tableStyle count="3" pivot="0" name="Plantilla EVM-style">
      <tableStyleElement dxfId="1" type="headerRow"/>
      <tableStyleElement dxfId="2" type="firstRowStripe"/>
      <tableStyleElement dxfId="3" type="secondRowStripe"/>
    </tableStyle>
    <tableStyle count="3" pivot="0" name="SPRINT 2-style">
      <tableStyleElement dxfId="1" type="headerRow"/>
      <tableStyleElement dxfId="2" type="firstRowStripe"/>
      <tableStyleElement dxfId="3" type="secondRowStripe"/>
    </tableStyle>
    <tableStyle count="3" pivot="0" name="SPRINT 3-style">
      <tableStyleElement dxfId="1" type="headerRow"/>
      <tableStyleElement dxfId="2" type="firstRowStripe"/>
      <tableStyleElement dxfId="3" type="secondRowStripe"/>
    </tableStyle>
    <tableStyle count="3" pivot="0" name="SPRINT 4-style">
      <tableStyleElement dxfId="1" type="headerRow"/>
      <tableStyleElement dxfId="2" type="firstRowStripe"/>
      <tableStyleElement dxfId="3" type="secondRowStripe"/>
    </tableStyle>
    <tableStyle count="3" pivot="0" name="Ejempl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938982568929505"/>
          <c:y val="0.03047823199082181"/>
          <c:w val="0.7630887809563022"/>
          <c:h val="0.8710218743539268"/>
        </c:manualLayout>
      </c:layout>
      <c:lineChart>
        <c:ser>
          <c:idx val="0"/>
          <c:order val="0"/>
          <c:tx>
            <c:v>PV</c:v>
          </c:tx>
          <c:spPr>
            <a:ln cmpd="sng" w="19050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'Plantilla EVM'!$D$17:$O$17</c:f>
            </c:strRef>
          </c:cat>
          <c:val>
            <c:numRef>
              <c:f>'Plantilla EVM'!$D$20:$O$20</c:f>
              <c:numCache/>
            </c:numRef>
          </c:val>
          <c:smooth val="0"/>
        </c:ser>
        <c:ser>
          <c:idx val="1"/>
          <c:order val="1"/>
          <c:tx>
            <c:v>AC</c:v>
          </c:tx>
          <c:spPr>
            <a:ln cmpd="sng" w="19050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'Plantilla EVM'!$D$17:$O$17</c:f>
            </c:strRef>
          </c:cat>
          <c:val>
            <c:numRef>
              <c:f>'Plantilla EVM'!$D$22:$O$22</c:f>
              <c:numCache/>
            </c:numRef>
          </c:val>
          <c:smooth val="0"/>
        </c:ser>
        <c:ser>
          <c:idx val="2"/>
          <c:order val="2"/>
          <c:tx>
            <c:v>EV</c:v>
          </c:tx>
          <c:spPr>
            <a:ln cmpd="sng" w="19050">
              <a:solidFill>
                <a:srgbClr val="9BBB59"/>
              </a:solidFill>
            </a:ln>
          </c:spPr>
          <c:marker>
            <c:symbol val="circle"/>
            <c:size val="5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'Plantilla EVM'!$D$17:$O$17</c:f>
            </c:strRef>
          </c:cat>
          <c:val>
            <c:numRef>
              <c:f>'Plantilla EVM'!$D$25:$O$25</c:f>
              <c:numCache/>
            </c:numRef>
          </c:val>
          <c:smooth val="0"/>
        </c:ser>
        <c:axId val="2036780633"/>
        <c:axId val="1834412997"/>
      </c:lineChart>
      <c:catAx>
        <c:axId val="2036780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412997"/>
      </c:catAx>
      <c:valAx>
        <c:axId val="183441299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6780633"/>
      </c:valAx>
    </c:plotArea>
    <c:legend>
      <c:legendPos val="r"/>
      <c:layout>
        <c:manualLayout>
          <c:xMode val="edge"/>
          <c:yMode val="edge"/>
          <c:x val="0.903922876329289"/>
          <c:y val="0.403235085259193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938982568929505"/>
          <c:y val="0.03047823199082181"/>
          <c:w val="0.7630887809563022"/>
          <c:h val="0.8710218743539268"/>
        </c:manualLayout>
      </c:layout>
      <c:lineChart>
        <c:ser>
          <c:idx val="0"/>
          <c:order val="0"/>
          <c:tx>
            <c:v>PV</c:v>
          </c:tx>
          <c:spPr>
            <a:ln cmpd="sng" w="19050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'SPRINT 2'!$D$17:$O$17</c:f>
            </c:strRef>
          </c:cat>
          <c:val>
            <c:numRef>
              <c:f>'SPRINT 2'!$D$20:$O$20</c:f>
              <c:numCache/>
            </c:numRef>
          </c:val>
          <c:smooth val="0"/>
        </c:ser>
        <c:ser>
          <c:idx val="1"/>
          <c:order val="1"/>
          <c:tx>
            <c:v>AC</c:v>
          </c:tx>
          <c:spPr>
            <a:ln cmpd="sng" w="19050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'SPRINT 2'!$D$17:$O$17</c:f>
            </c:strRef>
          </c:cat>
          <c:val>
            <c:numRef>
              <c:f>'SPRINT 2'!$D$22:$O$22</c:f>
              <c:numCache/>
            </c:numRef>
          </c:val>
          <c:smooth val="0"/>
        </c:ser>
        <c:ser>
          <c:idx val="2"/>
          <c:order val="2"/>
          <c:tx>
            <c:v>EV</c:v>
          </c:tx>
          <c:spPr>
            <a:ln cmpd="sng" w="19050">
              <a:solidFill>
                <a:srgbClr val="9BBB59"/>
              </a:solidFill>
            </a:ln>
          </c:spPr>
          <c:marker>
            <c:symbol val="circle"/>
            <c:size val="5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'SPRINT 2'!$D$17:$O$17</c:f>
            </c:strRef>
          </c:cat>
          <c:val>
            <c:numRef>
              <c:f>'SPRINT 2'!$D$25:$O$25</c:f>
              <c:numCache/>
            </c:numRef>
          </c:val>
          <c:smooth val="0"/>
        </c:ser>
        <c:axId val="583346714"/>
        <c:axId val="465912656"/>
      </c:lineChart>
      <c:catAx>
        <c:axId val="583346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5912656"/>
      </c:catAx>
      <c:valAx>
        <c:axId val="4659126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346714"/>
      </c:valAx>
    </c:plotArea>
    <c:legend>
      <c:legendPos val="r"/>
      <c:layout>
        <c:manualLayout>
          <c:xMode val="edge"/>
          <c:yMode val="edge"/>
          <c:x val="0.903922876329289"/>
          <c:y val="0.403235085259193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938982568929505"/>
          <c:y val="0.03047823199082181"/>
          <c:w val="0.7630887809563022"/>
          <c:h val="0.8710218743539268"/>
        </c:manualLayout>
      </c:layout>
      <c:lineChart>
        <c:ser>
          <c:idx val="0"/>
          <c:order val="0"/>
          <c:tx>
            <c:v>PV</c:v>
          </c:tx>
          <c:spPr>
            <a:ln cmpd="sng" w="19050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'SPRINT 3'!$D$17:$O$17</c:f>
            </c:strRef>
          </c:cat>
          <c:val>
            <c:numRef>
              <c:f>'SPRINT 3'!$D$20:$O$20</c:f>
              <c:numCache/>
            </c:numRef>
          </c:val>
          <c:smooth val="0"/>
        </c:ser>
        <c:ser>
          <c:idx val="1"/>
          <c:order val="1"/>
          <c:tx>
            <c:v>AC</c:v>
          </c:tx>
          <c:spPr>
            <a:ln cmpd="sng" w="19050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'SPRINT 3'!$D$17:$O$17</c:f>
            </c:strRef>
          </c:cat>
          <c:val>
            <c:numRef>
              <c:f>'SPRINT 3'!$D$22:$O$22</c:f>
              <c:numCache/>
            </c:numRef>
          </c:val>
          <c:smooth val="0"/>
        </c:ser>
        <c:ser>
          <c:idx val="2"/>
          <c:order val="2"/>
          <c:tx>
            <c:v>EV</c:v>
          </c:tx>
          <c:spPr>
            <a:ln cmpd="sng" w="19050">
              <a:solidFill>
                <a:srgbClr val="9BBB59"/>
              </a:solidFill>
            </a:ln>
          </c:spPr>
          <c:marker>
            <c:symbol val="circle"/>
            <c:size val="5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'SPRINT 3'!$D$17:$O$17</c:f>
            </c:strRef>
          </c:cat>
          <c:val>
            <c:numRef>
              <c:f>'SPRINT 3'!$D$25:$O$25</c:f>
              <c:numCache/>
            </c:numRef>
          </c:val>
          <c:smooth val="0"/>
        </c:ser>
        <c:axId val="1305854288"/>
        <c:axId val="1076670202"/>
      </c:lineChart>
      <c:catAx>
        <c:axId val="1305854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670202"/>
      </c:catAx>
      <c:valAx>
        <c:axId val="10766702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854288"/>
      </c:valAx>
    </c:plotArea>
    <c:legend>
      <c:legendPos val="r"/>
      <c:layout>
        <c:manualLayout>
          <c:xMode val="edge"/>
          <c:yMode val="edge"/>
          <c:x val="0.903922876329289"/>
          <c:y val="0.403235085259193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938982568929505"/>
          <c:y val="0.03047823199082181"/>
          <c:w val="0.7630887809563022"/>
          <c:h val="0.8710218743539268"/>
        </c:manualLayout>
      </c:layout>
      <c:lineChart>
        <c:ser>
          <c:idx val="0"/>
          <c:order val="0"/>
          <c:tx>
            <c:v>PV</c:v>
          </c:tx>
          <c:spPr>
            <a:ln cmpd="sng" w="19050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'SPRINT 4'!$D$17:$O$17</c:f>
            </c:strRef>
          </c:cat>
          <c:val>
            <c:numRef>
              <c:f>'SPRINT 4'!$D$20:$O$20</c:f>
              <c:numCache/>
            </c:numRef>
          </c:val>
          <c:smooth val="0"/>
        </c:ser>
        <c:ser>
          <c:idx val="1"/>
          <c:order val="1"/>
          <c:tx>
            <c:v>AC</c:v>
          </c:tx>
          <c:spPr>
            <a:ln cmpd="sng" w="19050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'SPRINT 4'!$D$17:$O$17</c:f>
            </c:strRef>
          </c:cat>
          <c:val>
            <c:numRef>
              <c:f>'SPRINT 4'!$D$22:$O$22</c:f>
              <c:numCache/>
            </c:numRef>
          </c:val>
          <c:smooth val="0"/>
        </c:ser>
        <c:ser>
          <c:idx val="2"/>
          <c:order val="2"/>
          <c:tx>
            <c:v>EV</c:v>
          </c:tx>
          <c:spPr>
            <a:ln cmpd="sng" w="19050">
              <a:solidFill>
                <a:srgbClr val="9BBB59"/>
              </a:solidFill>
            </a:ln>
          </c:spPr>
          <c:marker>
            <c:symbol val="circle"/>
            <c:size val="5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'SPRINT 4'!$D$17:$O$17</c:f>
            </c:strRef>
          </c:cat>
          <c:val>
            <c:numRef>
              <c:f>'SPRINT 4'!$D$25:$O$25</c:f>
              <c:numCache/>
            </c:numRef>
          </c:val>
          <c:smooth val="0"/>
        </c:ser>
        <c:axId val="1564934655"/>
        <c:axId val="876910563"/>
      </c:lineChart>
      <c:catAx>
        <c:axId val="1564934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910563"/>
      </c:catAx>
      <c:valAx>
        <c:axId val="8769105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4934655"/>
      </c:valAx>
    </c:plotArea>
    <c:legend>
      <c:legendPos val="r"/>
      <c:layout>
        <c:manualLayout>
          <c:xMode val="edge"/>
          <c:yMode val="edge"/>
          <c:x val="0.903922876329289"/>
          <c:y val="0.403235085259193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631830703032641"/>
          <c:y val="0.039607659394691186"/>
          <c:w val="0.7630887809563022"/>
          <c:h val="0.8710218743539268"/>
        </c:manualLayout>
      </c:layout>
      <c:lineChart>
        <c:ser>
          <c:idx val="0"/>
          <c:order val="0"/>
          <c:tx>
            <c:v>PV</c:v>
          </c:tx>
          <c:spPr>
            <a:ln cmpd="sng" w="19050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Ejemplo!$D$17:$O$17</c:f>
            </c:strRef>
          </c:cat>
          <c:val>
            <c:numRef>
              <c:f>Ejemplo!$D$19:$O$19</c:f>
              <c:numCache/>
            </c:numRef>
          </c:val>
          <c:smooth val="0"/>
        </c:ser>
        <c:ser>
          <c:idx val="1"/>
          <c:order val="1"/>
          <c:tx>
            <c:v>AC</c:v>
          </c:tx>
          <c:spPr>
            <a:ln cmpd="sng" w="19050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Ejemplo!$D$17:$O$17</c:f>
            </c:strRef>
          </c:cat>
          <c:val>
            <c:numRef>
              <c:f>Ejemplo!$D$21:$O$21</c:f>
              <c:numCache/>
            </c:numRef>
          </c:val>
          <c:smooth val="0"/>
        </c:ser>
        <c:ser>
          <c:idx val="2"/>
          <c:order val="2"/>
          <c:tx>
            <c:v>EV</c:v>
          </c:tx>
          <c:spPr>
            <a:ln cmpd="sng" w="19050">
              <a:solidFill>
                <a:srgbClr val="7030A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7030A0">
                  <a:alpha val="100000"/>
                </a:srgbClr>
              </a:solidFill>
              <a:ln cmpd="sng">
                <a:solidFill>
                  <a:srgbClr val="7030A0">
                    <a:alpha val="100000"/>
                  </a:srgbClr>
                </a:solidFill>
              </a:ln>
            </c:spPr>
          </c:marker>
          <c:cat>
            <c:strRef>
              <c:f>Ejemplo!$D$17:$O$17</c:f>
            </c:strRef>
          </c:cat>
          <c:val>
            <c:numRef>
              <c:f>Ejemplo!$D$24:$O$24</c:f>
              <c:numCache/>
            </c:numRef>
          </c:val>
          <c:smooth val="0"/>
        </c:ser>
        <c:axId val="993680048"/>
        <c:axId val="141946365"/>
      </c:lineChart>
      <c:catAx>
        <c:axId val="993680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46365"/>
      </c:catAx>
      <c:valAx>
        <c:axId val="141946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680048"/>
      </c:valAx>
    </c:plotArea>
    <c:legend>
      <c:legendPos val="r"/>
      <c:layout>
        <c:manualLayout>
          <c:xMode val="edge"/>
          <c:yMode val="edge"/>
          <c:x val="0.903922876329289"/>
          <c:y val="0.403235085259193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25</xdr:row>
      <xdr:rowOff>152400</xdr:rowOff>
    </xdr:from>
    <xdr:ext cx="8029575" cy="3448050"/>
    <xdr:graphicFrame>
      <xdr:nvGraphicFramePr>
        <xdr:cNvPr id="133753687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485775</xdr:colOff>
      <xdr:row>32</xdr:row>
      <xdr:rowOff>-504825</xdr:rowOff>
    </xdr:from>
    <xdr:ext cx="3248025" cy="1847850"/>
    <xdr:sp>
      <xdr:nvSpPr>
        <xdr:cNvPr id="3" name="Shape 3"/>
        <xdr:cNvSpPr txBox="1"/>
      </xdr:nvSpPr>
      <xdr:spPr>
        <a:xfrm rot="1457134">
          <a:off x="3697921" y="3514671"/>
          <a:ext cx="3296159" cy="530658"/>
        </a:xfrm>
        <a:prstGeom prst="rect">
          <a:avLst/>
        </a:prstGeom>
        <a:solidFill>
          <a:schemeClr val="lt1"/>
        </a:solidFill>
        <a:ln cap="flat" cmpd="sng" w="25400">
          <a:solidFill>
            <a:schemeClr val="accen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Gráfica Valor Ganado</a:t>
          </a:r>
          <a:endParaRPr sz="1400"/>
        </a:p>
      </xdr:txBody>
    </xdr:sp>
    <xdr:clientData fLocksWithSheet="0"/>
  </xdr:oneCellAnchor>
  <xdr:oneCellAnchor>
    <xdr:from>
      <xdr:col>1</xdr:col>
      <xdr:colOff>723900</xdr:colOff>
      <xdr:row>2</xdr:row>
      <xdr:rowOff>66675</xdr:rowOff>
    </xdr:from>
    <xdr:ext cx="2305050" cy="847725"/>
    <xdr:pic>
      <xdr:nvPicPr>
        <xdr:cNvPr descr="C:\Users\francysr\Desktop\logo_PM4R Cloud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25</xdr:row>
      <xdr:rowOff>152400</xdr:rowOff>
    </xdr:from>
    <xdr:ext cx="8029575" cy="3448050"/>
    <xdr:graphicFrame>
      <xdr:nvGraphicFramePr>
        <xdr:cNvPr id="120012003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485775</xdr:colOff>
      <xdr:row>32</xdr:row>
      <xdr:rowOff>-504825</xdr:rowOff>
    </xdr:from>
    <xdr:ext cx="3248025" cy="1847850"/>
    <xdr:sp>
      <xdr:nvSpPr>
        <xdr:cNvPr id="3" name="Shape 3"/>
        <xdr:cNvSpPr txBox="1"/>
      </xdr:nvSpPr>
      <xdr:spPr>
        <a:xfrm rot="1457134">
          <a:off x="3697921" y="3514671"/>
          <a:ext cx="3296159" cy="530658"/>
        </a:xfrm>
        <a:prstGeom prst="rect">
          <a:avLst/>
        </a:prstGeom>
        <a:solidFill>
          <a:schemeClr val="lt1"/>
        </a:solidFill>
        <a:ln cap="flat" cmpd="sng" w="25400">
          <a:solidFill>
            <a:schemeClr val="accen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Gráfica Valor Ganado</a:t>
          </a:r>
          <a:endParaRPr sz="1400"/>
        </a:p>
      </xdr:txBody>
    </xdr:sp>
    <xdr:clientData fLocksWithSheet="0"/>
  </xdr:oneCellAnchor>
  <xdr:oneCellAnchor>
    <xdr:from>
      <xdr:col>1</xdr:col>
      <xdr:colOff>723900</xdr:colOff>
      <xdr:row>2</xdr:row>
      <xdr:rowOff>66675</xdr:rowOff>
    </xdr:from>
    <xdr:ext cx="2305050" cy="847725"/>
    <xdr:pic>
      <xdr:nvPicPr>
        <xdr:cNvPr descr="C:\Users\francysr\Desktop\logo_PM4R Cloud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25</xdr:row>
      <xdr:rowOff>152400</xdr:rowOff>
    </xdr:from>
    <xdr:ext cx="8029575" cy="3448050"/>
    <xdr:graphicFrame>
      <xdr:nvGraphicFramePr>
        <xdr:cNvPr id="76561554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485775</xdr:colOff>
      <xdr:row>32</xdr:row>
      <xdr:rowOff>-504825</xdr:rowOff>
    </xdr:from>
    <xdr:ext cx="3248025" cy="1847850"/>
    <xdr:sp>
      <xdr:nvSpPr>
        <xdr:cNvPr id="3" name="Shape 3"/>
        <xdr:cNvSpPr txBox="1"/>
      </xdr:nvSpPr>
      <xdr:spPr>
        <a:xfrm rot="1457134">
          <a:off x="3697921" y="3514671"/>
          <a:ext cx="3296159" cy="530658"/>
        </a:xfrm>
        <a:prstGeom prst="rect">
          <a:avLst/>
        </a:prstGeom>
        <a:solidFill>
          <a:schemeClr val="lt1"/>
        </a:solidFill>
        <a:ln cap="flat" cmpd="sng" w="25400">
          <a:solidFill>
            <a:schemeClr val="accen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Gráfica Valor Ganado</a:t>
          </a:r>
          <a:endParaRPr sz="1400"/>
        </a:p>
      </xdr:txBody>
    </xdr:sp>
    <xdr:clientData fLocksWithSheet="0"/>
  </xdr:oneCellAnchor>
  <xdr:oneCellAnchor>
    <xdr:from>
      <xdr:col>1</xdr:col>
      <xdr:colOff>723900</xdr:colOff>
      <xdr:row>2</xdr:row>
      <xdr:rowOff>66675</xdr:rowOff>
    </xdr:from>
    <xdr:ext cx="2305050" cy="847725"/>
    <xdr:pic>
      <xdr:nvPicPr>
        <xdr:cNvPr descr="C:\Users\francysr\Desktop\logo_PM4R Cloud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25</xdr:row>
      <xdr:rowOff>152400</xdr:rowOff>
    </xdr:from>
    <xdr:ext cx="8029575" cy="3448050"/>
    <xdr:graphicFrame>
      <xdr:nvGraphicFramePr>
        <xdr:cNvPr id="7206400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485775</xdr:colOff>
      <xdr:row>32</xdr:row>
      <xdr:rowOff>-504825</xdr:rowOff>
    </xdr:from>
    <xdr:ext cx="3248025" cy="1847850"/>
    <xdr:sp>
      <xdr:nvSpPr>
        <xdr:cNvPr id="3" name="Shape 3"/>
        <xdr:cNvSpPr txBox="1"/>
      </xdr:nvSpPr>
      <xdr:spPr>
        <a:xfrm rot="1457134">
          <a:off x="3697921" y="3514671"/>
          <a:ext cx="3296159" cy="530658"/>
        </a:xfrm>
        <a:prstGeom prst="rect">
          <a:avLst/>
        </a:prstGeom>
        <a:solidFill>
          <a:schemeClr val="lt1"/>
        </a:solidFill>
        <a:ln cap="flat" cmpd="sng" w="25400">
          <a:solidFill>
            <a:schemeClr val="accen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Gráfica Valor Ganado</a:t>
          </a:r>
          <a:endParaRPr sz="1400"/>
        </a:p>
      </xdr:txBody>
    </xdr:sp>
    <xdr:clientData fLocksWithSheet="0"/>
  </xdr:oneCellAnchor>
  <xdr:oneCellAnchor>
    <xdr:from>
      <xdr:col>1</xdr:col>
      <xdr:colOff>723900</xdr:colOff>
      <xdr:row>2</xdr:row>
      <xdr:rowOff>66675</xdr:rowOff>
    </xdr:from>
    <xdr:ext cx="2305050" cy="847725"/>
    <xdr:pic>
      <xdr:nvPicPr>
        <xdr:cNvPr descr="C:\Users\francysr\Desktop\logo_PM4R Cloud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114300</xdr:colOff>
      <xdr:row>24</xdr:row>
      <xdr:rowOff>133350</xdr:rowOff>
    </xdr:from>
    <xdr:ext cx="10287000" cy="3810000"/>
    <xdr:graphicFrame>
      <xdr:nvGraphicFramePr>
        <xdr:cNvPr id="414787481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723900</xdr:colOff>
      <xdr:row>2</xdr:row>
      <xdr:rowOff>66675</xdr:rowOff>
    </xdr:from>
    <xdr:ext cx="2305050" cy="857250"/>
    <xdr:pic>
      <xdr:nvPicPr>
        <xdr:cNvPr descr="C:\Users\francysr\Desktop\logo_PM4R Cloud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D17:O25" displayName="Table_1" name="Table_1" id="1">
  <tableColumns count="12">
    <tableColumn name="Semana 1" id="1"/>
    <tableColumn name="Semana 2" id="2"/>
    <tableColumn name="Semana 3" id="3"/>
    <tableColumn name="Semana 4" id="4"/>
    <tableColumn name="Semana 5" id="5"/>
    <tableColumn name="Semana 6" id="6"/>
    <tableColumn name="Semana 7" id="7"/>
    <tableColumn name="Semana 8" id="8"/>
    <tableColumn name="Semana 9" id="9"/>
    <tableColumn name="Semana 10" id="10"/>
    <tableColumn name="Semana 11" id="11"/>
    <tableColumn name="Semana 12" id="12"/>
  </tableColumns>
  <tableStyleInfo name="Plantilla EVM-style" showColumnStripes="0" showFirstColumn="1" showLastColumn="1" showRowStripes="1"/>
</table>
</file>

<file path=xl/tables/table2.xml><?xml version="1.0" encoding="utf-8"?>
<table xmlns="http://schemas.openxmlformats.org/spreadsheetml/2006/main" ref="D17:O25" displayName="Table_2" name="Table_2" id="2">
  <tableColumns count="12">
    <tableColumn name="Semana 1" id="1"/>
    <tableColumn name="Semana 2" id="2"/>
    <tableColumn name="Semana 3" id="3"/>
    <tableColumn name="Semana 4" id="4"/>
    <tableColumn name="Semana 5" id="5"/>
    <tableColumn name="Semana 6" id="6"/>
    <tableColumn name="Semana 7" id="7"/>
    <tableColumn name="Semana 8" id="8"/>
    <tableColumn name="Semana 9" id="9"/>
    <tableColumn name="Semana 10" id="10"/>
    <tableColumn name="Semana 11" id="11"/>
    <tableColumn name="Semana 12" id="12"/>
  </tableColumns>
  <tableStyleInfo name="SPRINT 2-style" showColumnStripes="0" showFirstColumn="1" showLastColumn="1" showRowStripes="1"/>
</table>
</file>

<file path=xl/tables/table3.xml><?xml version="1.0" encoding="utf-8"?>
<table xmlns="http://schemas.openxmlformats.org/spreadsheetml/2006/main" ref="D17:O25" displayName="Table_3" name="Table_3" id="3">
  <tableColumns count="12">
    <tableColumn name="Semana 1" id="1"/>
    <tableColumn name="Semana 2" id="2"/>
    <tableColumn name="Semana 3" id="3"/>
    <tableColumn name="Semana 4" id="4"/>
    <tableColumn name="Semana 5" id="5"/>
    <tableColumn name="Semana 6" id="6"/>
    <tableColumn name="Semana 7" id="7"/>
    <tableColumn name="Semana 8" id="8"/>
    <tableColumn name="Semana 9" id="9"/>
    <tableColumn name="Semana 10" id="10"/>
    <tableColumn name="Semana 11" id="11"/>
    <tableColumn name="Semana 12" id="12"/>
  </tableColumns>
  <tableStyleInfo name="SPRINT 3-style" showColumnStripes="0" showFirstColumn="1" showLastColumn="1" showRowStripes="1"/>
</table>
</file>

<file path=xl/tables/table4.xml><?xml version="1.0" encoding="utf-8"?>
<table xmlns="http://schemas.openxmlformats.org/spreadsheetml/2006/main" ref="D17:O25" displayName="Table_4" name="Table_4" id="4">
  <tableColumns count="12">
    <tableColumn name="Semana 1" id="1"/>
    <tableColumn name="Semana 2" id="2"/>
    <tableColumn name="Semana 3" id="3"/>
    <tableColumn name="Semana 4" id="4"/>
    <tableColumn name="Semana 5" id="5"/>
    <tableColumn name="Semana 6" id="6"/>
    <tableColumn name="Semana 7" id="7"/>
    <tableColumn name="Semana 8" id="8"/>
    <tableColumn name="Semana 9" id="9"/>
    <tableColumn name="Semana 10" id="10"/>
    <tableColumn name="Semana 11" id="11"/>
    <tableColumn name="Semana 12" id="12"/>
  </tableColumns>
  <tableStyleInfo name="SPRINT 4-style" showColumnStripes="0" showFirstColumn="1" showLastColumn="1" showRowStripes="1"/>
</table>
</file>

<file path=xl/tables/table5.xml><?xml version="1.0" encoding="utf-8"?>
<table xmlns="http://schemas.openxmlformats.org/spreadsheetml/2006/main" ref="D17:O24" displayName="Table_5" name="Table_5" id="5">
  <tableColumns count="12">
    <tableColumn name="Mes 1" id="1"/>
    <tableColumn name="Mes 2" id="2"/>
    <tableColumn name="Mes 3" id="3"/>
    <tableColumn name="Mes 4" id="4"/>
    <tableColumn name="Mes 5" id="5"/>
    <tableColumn name="Mes 6" id="6"/>
    <tableColumn name="Mes 7" id="7"/>
    <tableColumn name="Mes 8" id="8"/>
    <tableColumn name="Mes 9" id="9"/>
    <tableColumn name="Mes 10" id="10"/>
    <tableColumn name="Mes 11" id="11"/>
    <tableColumn name="Mes 12" id="12"/>
  </tableColumns>
  <tableStyleInfo name="Ejemp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64.0"/>
    <col customWidth="1" min="3" max="3" width="22.71"/>
    <col customWidth="1" min="4" max="4" width="11.43"/>
    <col customWidth="1" min="5" max="8" width="11.57"/>
    <col customWidth="1" min="9" max="9" width="13.43"/>
    <col customWidth="1" min="10" max="10" width="14.71"/>
    <col customWidth="1" min="11" max="11" width="14.57"/>
    <col customWidth="1" min="12" max="12" width="13.14"/>
    <col customWidth="1" min="13" max="13" width="13.0"/>
    <col customWidth="1" min="14" max="14" width="14.0"/>
    <col customWidth="1" min="15" max="15" width="14.29"/>
    <col customWidth="1" min="16" max="16" width="9.14"/>
    <col customWidth="1" min="17" max="17" width="10.29"/>
    <col customWidth="1" min="18" max="26" width="9.14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B4" s="1"/>
      <c r="C4" s="1"/>
      <c r="D4" s="2" t="s">
        <v>0</v>
      </c>
      <c r="F4" s="1"/>
      <c r="G4" s="1"/>
      <c r="H4" s="1"/>
      <c r="I4" s="1"/>
      <c r="J4" s="1"/>
      <c r="K4" s="1"/>
    </row>
    <row r="5">
      <c r="B5" s="3"/>
      <c r="C5" s="3"/>
      <c r="D5" s="1"/>
      <c r="E5" s="1"/>
      <c r="F5" s="1"/>
      <c r="G5" s="1"/>
      <c r="H5" s="1"/>
      <c r="I5" s="1"/>
      <c r="J5" s="1"/>
      <c r="K5" s="1"/>
    </row>
    <row r="6" ht="15.0" customHeight="1">
      <c r="B6" s="1"/>
      <c r="C6" s="1"/>
      <c r="D6" s="1"/>
      <c r="E6" s="1"/>
      <c r="F6" s="1"/>
      <c r="G6" s="1"/>
      <c r="H6" s="1"/>
      <c r="I6" s="1"/>
      <c r="J6" s="1"/>
      <c r="K6" s="4"/>
      <c r="L6" s="5"/>
      <c r="M6" s="5"/>
      <c r="N6" s="6"/>
      <c r="O6" s="7"/>
      <c r="P6" s="4"/>
    </row>
    <row r="7" ht="16.5" customHeight="1">
      <c r="B7" s="1"/>
      <c r="C7" s="1"/>
      <c r="D7" s="1"/>
      <c r="E7" s="1"/>
      <c r="F7" s="1"/>
      <c r="G7" s="1"/>
      <c r="H7" s="1"/>
      <c r="I7" s="1"/>
      <c r="J7" s="1"/>
      <c r="K7" s="8"/>
      <c r="L7" s="9"/>
      <c r="M7" s="9"/>
      <c r="N7" s="10"/>
      <c r="O7" s="7"/>
      <c r="P7" s="8"/>
    </row>
    <row r="8" ht="16.5" customHeight="1">
      <c r="B8" s="11" t="s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7"/>
      <c r="P8" s="8"/>
    </row>
    <row r="9" ht="16.5" customHeight="1">
      <c r="Q9" s="8"/>
    </row>
    <row r="10" ht="16.5" customHeight="1">
      <c r="B10" s="13" t="s">
        <v>2</v>
      </c>
      <c r="C10" s="14" t="s">
        <v>3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  <c r="Q10" s="8"/>
    </row>
    <row r="11" ht="16.5" customHeight="1">
      <c r="B11" s="17" t="s">
        <v>4</v>
      </c>
      <c r="C11" s="14" t="s">
        <v>5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Q11" s="8"/>
    </row>
    <row r="12" ht="16.5" customHeight="1">
      <c r="B12" s="20" t="s">
        <v>6</v>
      </c>
      <c r="C12" s="21" t="s">
        <v>7</v>
      </c>
      <c r="D12" s="22"/>
      <c r="E12" s="23" t="s">
        <v>8</v>
      </c>
      <c r="F12" s="24"/>
      <c r="G12" s="25" t="s">
        <v>9</v>
      </c>
      <c r="H12" s="26"/>
      <c r="I12" s="22"/>
      <c r="J12" s="23" t="s">
        <v>10</v>
      </c>
      <c r="K12" s="24"/>
      <c r="L12" s="27" t="s">
        <v>11</v>
      </c>
      <c r="M12" s="28"/>
      <c r="N12" s="29"/>
      <c r="O12" s="30"/>
      <c r="P12" s="8"/>
    </row>
    <row r="13" ht="16.5" customHeight="1"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8"/>
    </row>
    <row r="14" ht="16.5" customHeight="1">
      <c r="B14" s="1"/>
      <c r="C14" s="1"/>
      <c r="D14" s="1"/>
      <c r="E14" s="1"/>
      <c r="F14" s="1"/>
      <c r="G14" s="1"/>
      <c r="H14" s="1"/>
      <c r="I14" s="1"/>
      <c r="J14" s="1"/>
      <c r="K14" s="8"/>
      <c r="L14" s="9"/>
      <c r="M14" s="33"/>
      <c r="N14" s="10"/>
      <c r="O14" s="7"/>
      <c r="P14" s="8"/>
      <c r="Q14" s="34"/>
    </row>
    <row r="15" ht="16.5" customHeight="1">
      <c r="B15" s="1"/>
      <c r="C15" s="1"/>
      <c r="D15" s="1"/>
      <c r="E15" s="1"/>
      <c r="F15" s="1"/>
      <c r="G15" s="1"/>
      <c r="H15" s="1"/>
      <c r="I15" s="1"/>
      <c r="J15" s="1"/>
      <c r="K15" s="8"/>
      <c r="L15" s="9"/>
      <c r="M15" s="33"/>
      <c r="N15" s="10"/>
      <c r="O15" s="7"/>
      <c r="P15" s="8"/>
      <c r="Q15" s="34"/>
    </row>
    <row r="16" ht="16.5" customHeight="1">
      <c r="B16" s="35"/>
      <c r="C16" s="36"/>
      <c r="D16" s="37" t="s">
        <v>12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4"/>
      <c r="R16" s="34"/>
    </row>
    <row r="17" ht="15.0" customHeight="1">
      <c r="B17" s="40"/>
      <c r="C17" s="41"/>
      <c r="D17" s="42" t="s">
        <v>13</v>
      </c>
      <c r="E17" s="42" t="s">
        <v>14</v>
      </c>
      <c r="F17" s="42" t="s">
        <v>15</v>
      </c>
      <c r="G17" s="42" t="s">
        <v>16</v>
      </c>
      <c r="H17" s="42" t="s">
        <v>17</v>
      </c>
      <c r="I17" s="42" t="s">
        <v>18</v>
      </c>
      <c r="J17" s="42" t="s">
        <v>19</v>
      </c>
      <c r="K17" s="42" t="s">
        <v>20</v>
      </c>
      <c r="L17" s="42" t="s">
        <v>21</v>
      </c>
      <c r="M17" s="42" t="s">
        <v>22</v>
      </c>
      <c r="N17" s="42" t="s">
        <v>23</v>
      </c>
      <c r="O17" s="42" t="s">
        <v>24</v>
      </c>
    </row>
    <row r="18" ht="15.75" hidden="1" customHeight="1">
      <c r="B18" s="43"/>
      <c r="D18" s="44">
        <v>1.0</v>
      </c>
      <c r="E18" s="45">
        <v>2.0</v>
      </c>
      <c r="F18" s="45">
        <v>3.0</v>
      </c>
      <c r="G18" s="45">
        <v>4.0</v>
      </c>
      <c r="H18" s="45">
        <v>5.0</v>
      </c>
      <c r="I18" s="45">
        <v>6.0</v>
      </c>
      <c r="J18" s="45">
        <v>7.0</v>
      </c>
      <c r="K18" s="45">
        <v>8.0</v>
      </c>
      <c r="L18" s="45">
        <v>9.0</v>
      </c>
      <c r="M18" s="45">
        <v>10.0</v>
      </c>
      <c r="N18" s="45">
        <v>11.0</v>
      </c>
      <c r="O18" s="46">
        <v>12.0</v>
      </c>
    </row>
    <row r="19" ht="15.0" customHeight="1">
      <c r="B19" s="17" t="s">
        <v>25</v>
      </c>
      <c r="C19" s="47"/>
      <c r="D19" s="48">
        <v>12000.0</v>
      </c>
      <c r="E19" s="48">
        <v>12000.0</v>
      </c>
      <c r="F19" s="48">
        <v>18000.0</v>
      </c>
      <c r="G19" s="48">
        <v>18000.0</v>
      </c>
      <c r="H19" s="48">
        <v>33000.0</v>
      </c>
      <c r="I19" s="48">
        <v>33000.0</v>
      </c>
      <c r="J19" s="48">
        <v>38000.0</v>
      </c>
      <c r="K19" s="48">
        <v>40000.0</v>
      </c>
      <c r="L19" s="48">
        <v>27000.0</v>
      </c>
      <c r="M19" s="48">
        <v>27000.0</v>
      </c>
      <c r="N19" s="48">
        <v>21000.0</v>
      </c>
      <c r="O19" s="49">
        <v>21000.0</v>
      </c>
    </row>
    <row r="20" ht="15.0" customHeight="1">
      <c r="B20" s="17" t="s">
        <v>26</v>
      </c>
      <c r="C20" s="47" t="s">
        <v>27</v>
      </c>
      <c r="D20" s="50">
        <f>D19</f>
        <v>12000</v>
      </c>
      <c r="E20" s="50">
        <f>D19+E19</f>
        <v>24000</v>
      </c>
      <c r="F20" s="50">
        <f t="shared" ref="F20:O20" si="1">E20+F19</f>
        <v>42000</v>
      </c>
      <c r="G20" s="50">
        <f t="shared" si="1"/>
        <v>60000</v>
      </c>
      <c r="H20" s="50">
        <f t="shared" si="1"/>
        <v>93000</v>
      </c>
      <c r="I20" s="50">
        <f t="shared" si="1"/>
        <v>126000</v>
      </c>
      <c r="J20" s="50">
        <f t="shared" si="1"/>
        <v>164000</v>
      </c>
      <c r="K20" s="50">
        <f t="shared" si="1"/>
        <v>204000</v>
      </c>
      <c r="L20" s="50">
        <f t="shared" si="1"/>
        <v>231000</v>
      </c>
      <c r="M20" s="50">
        <f t="shared" si="1"/>
        <v>258000</v>
      </c>
      <c r="N20" s="50">
        <f t="shared" si="1"/>
        <v>279000</v>
      </c>
      <c r="O20" s="51">
        <f t="shared" si="1"/>
        <v>300000</v>
      </c>
    </row>
    <row r="21" ht="15.0" customHeight="1">
      <c r="B21" s="17" t="s">
        <v>28</v>
      </c>
      <c r="C21" s="47"/>
      <c r="D21" s="52">
        <v>12000.0</v>
      </c>
      <c r="E21" s="52">
        <v>12000.0</v>
      </c>
      <c r="F21" s="52">
        <v>18000.0</v>
      </c>
      <c r="G21" s="52">
        <v>18000.0</v>
      </c>
      <c r="H21" s="52"/>
      <c r="I21" s="52"/>
      <c r="J21" s="52"/>
      <c r="K21" s="52"/>
      <c r="L21" s="52"/>
      <c r="M21" s="52"/>
      <c r="N21" s="52"/>
      <c r="O21" s="53"/>
    </row>
    <row r="22" ht="15.75" customHeight="1">
      <c r="B22" s="17" t="s">
        <v>29</v>
      </c>
      <c r="C22" s="47" t="s">
        <v>30</v>
      </c>
      <c r="D22" s="50">
        <f>D21</f>
        <v>12000</v>
      </c>
      <c r="E22" s="50">
        <f>D21+E21</f>
        <v>24000</v>
      </c>
      <c r="F22" s="50">
        <f t="shared" ref="F22:O22" si="2">E22+F21</f>
        <v>42000</v>
      </c>
      <c r="G22" s="50">
        <f t="shared" si="2"/>
        <v>60000</v>
      </c>
      <c r="H22" s="50">
        <f t="shared" si="2"/>
        <v>60000</v>
      </c>
      <c r="I22" s="50">
        <f t="shared" si="2"/>
        <v>60000</v>
      </c>
      <c r="J22" s="50">
        <f t="shared" si="2"/>
        <v>60000</v>
      </c>
      <c r="K22" s="50">
        <f t="shared" si="2"/>
        <v>60000</v>
      </c>
      <c r="L22" s="50">
        <f t="shared" si="2"/>
        <v>60000</v>
      </c>
      <c r="M22" s="50">
        <f t="shared" si="2"/>
        <v>60000</v>
      </c>
      <c r="N22" s="50">
        <f t="shared" si="2"/>
        <v>60000</v>
      </c>
      <c r="O22" s="50">
        <f t="shared" si="2"/>
        <v>60000</v>
      </c>
    </row>
    <row r="23" ht="15.75" customHeight="1">
      <c r="B23" s="17" t="s">
        <v>31</v>
      </c>
      <c r="C23" s="47" t="s">
        <v>32</v>
      </c>
      <c r="D23" s="54">
        <v>0.0833</v>
      </c>
      <c r="E23" s="54">
        <v>0.1666</v>
      </c>
      <c r="F23" s="55">
        <v>0.2499</v>
      </c>
      <c r="G23" s="55">
        <v>0.3332</v>
      </c>
      <c r="H23" s="56"/>
      <c r="I23" s="56"/>
      <c r="J23" s="56"/>
      <c r="K23" s="56"/>
      <c r="L23" s="56"/>
      <c r="M23" s="56"/>
      <c r="N23" s="56"/>
      <c r="O23" s="57"/>
    </row>
    <row r="24" ht="15.75" customHeight="1">
      <c r="B24" s="17" t="s">
        <v>33</v>
      </c>
      <c r="C24" s="47"/>
      <c r="D24" s="50">
        <f t="shared" ref="D24:O24" si="3">D23*$C$27</f>
        <v>24990</v>
      </c>
      <c r="E24" s="50">
        <f t="shared" si="3"/>
        <v>49980</v>
      </c>
      <c r="F24" s="50">
        <f t="shared" si="3"/>
        <v>74970</v>
      </c>
      <c r="G24" s="50">
        <f t="shared" si="3"/>
        <v>99960</v>
      </c>
      <c r="H24" s="50">
        <f t="shared" si="3"/>
        <v>0</v>
      </c>
      <c r="I24" s="50">
        <f t="shared" si="3"/>
        <v>0</v>
      </c>
      <c r="J24" s="50">
        <f t="shared" si="3"/>
        <v>0</v>
      </c>
      <c r="K24" s="50">
        <f t="shared" si="3"/>
        <v>0</v>
      </c>
      <c r="L24" s="50">
        <f t="shared" si="3"/>
        <v>0</v>
      </c>
      <c r="M24" s="50">
        <f t="shared" si="3"/>
        <v>0</v>
      </c>
      <c r="N24" s="50">
        <f t="shared" si="3"/>
        <v>0</v>
      </c>
      <c r="O24" s="50">
        <f t="shared" si="3"/>
        <v>0</v>
      </c>
    </row>
    <row r="25" ht="15.75" customHeight="1">
      <c r="B25" s="20" t="s">
        <v>34</v>
      </c>
      <c r="C25" s="58" t="s">
        <v>35</v>
      </c>
      <c r="D25" s="50">
        <f>D24</f>
        <v>24990</v>
      </c>
      <c r="E25" s="50">
        <f>D24+E24</f>
        <v>74970</v>
      </c>
      <c r="F25" s="50">
        <f t="shared" ref="F25:O25" si="4">E25+F24</f>
        <v>149940</v>
      </c>
      <c r="G25" s="50">
        <f t="shared" si="4"/>
        <v>249900</v>
      </c>
      <c r="H25" s="50">
        <f t="shared" si="4"/>
        <v>249900</v>
      </c>
      <c r="I25" s="50">
        <f t="shared" si="4"/>
        <v>249900</v>
      </c>
      <c r="J25" s="50">
        <f t="shared" si="4"/>
        <v>249900</v>
      </c>
      <c r="K25" s="50">
        <f t="shared" si="4"/>
        <v>249900</v>
      </c>
      <c r="L25" s="50">
        <f t="shared" si="4"/>
        <v>249900</v>
      </c>
      <c r="M25" s="50">
        <f t="shared" si="4"/>
        <v>249900</v>
      </c>
      <c r="N25" s="50">
        <f t="shared" si="4"/>
        <v>249900</v>
      </c>
      <c r="O25" s="50">
        <f t="shared" si="4"/>
        <v>249900</v>
      </c>
    </row>
    <row r="26" ht="15.75" customHeight="1">
      <c r="C26" s="59" t="s">
        <v>36</v>
      </c>
    </row>
    <row r="27" ht="15.75" customHeight="1">
      <c r="B27" s="60" t="s">
        <v>37</v>
      </c>
      <c r="C27" s="61">
        <f>O20</f>
        <v>300000</v>
      </c>
      <c r="D27" s="59"/>
    </row>
    <row r="28" ht="15.75" customHeight="1">
      <c r="C28" s="62"/>
      <c r="D28" s="59"/>
    </row>
    <row r="29" ht="15.75" customHeight="1">
      <c r="B29" s="63" t="s">
        <v>38</v>
      </c>
      <c r="C29" s="64" t="s">
        <v>39</v>
      </c>
    </row>
    <row r="30" ht="18.75" customHeight="1">
      <c r="B30" s="65" t="s">
        <v>40</v>
      </c>
      <c r="C30" s="66">
        <f>E25-E22</f>
        <v>50970</v>
      </c>
      <c r="D30" s="67"/>
      <c r="E30" s="67"/>
    </row>
    <row r="31" ht="30.75" customHeight="1">
      <c r="B31" s="65" t="s">
        <v>41</v>
      </c>
      <c r="C31" s="68">
        <f>E25-E20</f>
        <v>50970</v>
      </c>
    </row>
    <row r="32" ht="33.0" customHeight="1">
      <c r="B32" s="65" t="s">
        <v>42</v>
      </c>
      <c r="C32" s="69">
        <f>E25/E22</f>
        <v>3.12375</v>
      </c>
    </row>
    <row r="33" ht="36.0" customHeight="1">
      <c r="B33" s="65" t="s">
        <v>43</v>
      </c>
      <c r="C33" s="69">
        <f>E25/E20</f>
        <v>3.12375</v>
      </c>
    </row>
    <row r="34" ht="35.25" customHeight="1">
      <c r="B34" s="70" t="s">
        <v>44</v>
      </c>
      <c r="C34" s="71">
        <f>C27/C32</f>
        <v>96038.41537</v>
      </c>
    </row>
    <row r="35" ht="15.75" customHeight="1"/>
    <row r="36" ht="15.75" customHeight="1"/>
    <row r="37" ht="15.75" customHeight="1">
      <c r="B37" s="72" t="s">
        <v>45</v>
      </c>
    </row>
    <row r="38" ht="15.75" customHeight="1">
      <c r="B38" s="73" t="s">
        <v>46</v>
      </c>
    </row>
    <row r="39" ht="15.75" customHeight="1">
      <c r="B39" s="72"/>
    </row>
    <row r="40" ht="15.75" customHeight="1">
      <c r="B40" s="72" t="s">
        <v>47</v>
      </c>
    </row>
    <row r="41" ht="15.75" customHeight="1">
      <c r="B41" s="73" t="s">
        <v>48</v>
      </c>
    </row>
    <row r="42" ht="15.75" customHeight="1">
      <c r="B42" s="72"/>
    </row>
    <row r="43" ht="15.75" customHeight="1">
      <c r="B43" s="72" t="s">
        <v>49</v>
      </c>
    </row>
    <row r="44" ht="15.75" customHeight="1">
      <c r="B44" s="73" t="s">
        <v>50</v>
      </c>
    </row>
    <row r="45" ht="15.75" customHeight="1">
      <c r="B45" s="72"/>
    </row>
    <row r="46" ht="15.75" customHeight="1">
      <c r="B46" s="72" t="s">
        <v>51</v>
      </c>
    </row>
    <row r="47" ht="15.75" customHeight="1">
      <c r="B47" s="73" t="s">
        <v>52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N6:O6"/>
    <mergeCell ref="N7:O7"/>
    <mergeCell ref="B8:O8"/>
    <mergeCell ref="C12:D12"/>
    <mergeCell ref="G12:I12"/>
    <mergeCell ref="N14:O14"/>
    <mergeCell ref="N15:O15"/>
    <mergeCell ref="D16:O16"/>
  </mergeCells>
  <conditionalFormatting sqref="C27">
    <cfRule type="expression" dxfId="4" priority="1">
      <formula>IF(ROUND(($N$14-$N$7)/30,0)=12,1,0)</formula>
    </cfRule>
  </conditionalFormatting>
  <conditionalFormatting sqref="C30:C31">
    <cfRule type="expression" dxfId="5" priority="2">
      <formula>IF(ROUND(($N$14-$N$7)/30,0)=1,1,0)</formula>
    </cfRule>
  </conditionalFormatting>
  <conditionalFormatting sqref="D18:D25 E23 E24:O24">
    <cfRule type="expression" dxfId="5" priority="3">
      <formula>IF(ROUND(($N$14-$N$7)/30,0)=1,1,0)</formula>
    </cfRule>
  </conditionalFormatting>
  <conditionalFormatting sqref="E18:E22">
    <cfRule type="expression" dxfId="4" priority="4">
      <formula>IF(ROUND(($N$14-$N$7)/30,0)=2,1,0)</formula>
    </cfRule>
  </conditionalFormatting>
  <conditionalFormatting sqref="E25">
    <cfRule type="expression" dxfId="4" priority="5">
      <formula>IF(ROUND(($N$14-$N$7)/30,0)=2,1,0)</formula>
    </cfRule>
  </conditionalFormatting>
  <conditionalFormatting sqref="F18:F23">
    <cfRule type="expression" dxfId="4" priority="6">
      <formula>IF(ROUND(($N$14-$N$7)/30,0)=3,1,0)</formula>
    </cfRule>
  </conditionalFormatting>
  <conditionalFormatting sqref="F25">
    <cfRule type="expression" dxfId="4" priority="7">
      <formula>IF(ROUND(($N$14-$N$7)/30,0)=3,1,0)</formula>
    </cfRule>
  </conditionalFormatting>
  <conditionalFormatting sqref="G18:G23">
    <cfRule type="expression" dxfId="4" priority="8">
      <formula>IF(ROUND(($N$14-$N$7)/30,0)=4,1,0)</formula>
    </cfRule>
  </conditionalFormatting>
  <conditionalFormatting sqref="G25">
    <cfRule type="expression" dxfId="4" priority="9">
      <formula>IF(ROUND(($N$14-$N$7)/30,0)=4,1,0)</formula>
    </cfRule>
  </conditionalFormatting>
  <conditionalFormatting sqref="H18:H23">
    <cfRule type="expression" dxfId="4" priority="10">
      <formula>IF(ROUND(($N$14-$N$7)/30,0)=5,1,0)</formula>
    </cfRule>
  </conditionalFormatting>
  <conditionalFormatting sqref="H25">
    <cfRule type="expression" dxfId="4" priority="11">
      <formula>IF(ROUND(($N$14-$N$7)/30,0)=5,1,0)</formula>
    </cfRule>
  </conditionalFormatting>
  <conditionalFormatting sqref="I18:I23">
    <cfRule type="expression" dxfId="4" priority="12">
      <formula>IF(ROUND(($N$14-$N$7)/30,0)=6,1,0)</formula>
    </cfRule>
  </conditionalFormatting>
  <conditionalFormatting sqref="I25">
    <cfRule type="expression" dxfId="4" priority="13">
      <formula>IF(ROUND(($N$14-$N$7)/30,0)=6,1,0)</formula>
    </cfRule>
  </conditionalFormatting>
  <conditionalFormatting sqref="J18:J23">
    <cfRule type="expression" dxfId="4" priority="14">
      <formula>IF(ROUND(($N$14-$N$7)/30,0)=7,1,0)</formula>
    </cfRule>
  </conditionalFormatting>
  <conditionalFormatting sqref="K18:K21">
    <cfRule type="expression" dxfId="4" priority="15">
      <formula>IF(ROUND(($N$14-$N$7)/30,0)=8,1,0)</formula>
    </cfRule>
  </conditionalFormatting>
  <conditionalFormatting sqref="K23">
    <cfRule type="expression" dxfId="4" priority="16">
      <formula>IF(ROUND(($N$14-$N$7)/30,0)=8,1,0)</formula>
    </cfRule>
  </conditionalFormatting>
  <conditionalFormatting sqref="K22:O22">
    <cfRule type="expression" dxfId="4" priority="17">
      <formula>IF(ROUND(($N$14-$N$7)/30,0)=7,1,0)</formula>
    </cfRule>
  </conditionalFormatting>
  <conditionalFormatting sqref="K25:O25">
    <cfRule type="expression" dxfId="4" priority="18">
      <formula>IF(ROUND(($N$14-$N$7)/30,0)=7,1,0)</formula>
    </cfRule>
  </conditionalFormatting>
  <conditionalFormatting sqref="L18:L21">
    <cfRule type="expression" dxfId="4" priority="19">
      <formula>IF(ROUND(($N$14-$N$7)/30,0)=9,1,0)</formula>
    </cfRule>
  </conditionalFormatting>
  <conditionalFormatting sqref="L23">
    <cfRule type="expression" dxfId="4" priority="20">
      <formula>IF(ROUND(($N$14-$N$7)/30,0)=9,1,0)</formula>
    </cfRule>
  </conditionalFormatting>
  <conditionalFormatting sqref="M18:M21">
    <cfRule type="expression" dxfId="4" priority="21">
      <formula>IF(ROUND(($N$14-$N$7)/30,0)=10,1,0)</formula>
    </cfRule>
  </conditionalFormatting>
  <conditionalFormatting sqref="M23">
    <cfRule type="expression" dxfId="4" priority="22">
      <formula>IF(ROUND(($N$14-$N$7)/30,0)=10,1,0)</formula>
    </cfRule>
  </conditionalFormatting>
  <conditionalFormatting sqref="M12 N6:N7 N9:N11 N13:N15">
    <cfRule type="expression" dxfId="4" priority="23">
      <formula>IF(ROUND(($N$14-$N$7)/30,0)=3,1,0)</formula>
    </cfRule>
  </conditionalFormatting>
  <conditionalFormatting sqref="N18:N21">
    <cfRule type="expression" dxfId="4" priority="24">
      <formula>IF(ROUND(($N$14-$N$7)/30,0)=11,1,0)</formula>
    </cfRule>
  </conditionalFormatting>
  <conditionalFormatting sqref="N23">
    <cfRule type="expression" dxfId="4" priority="25">
      <formula>IF(ROUND(($N$14-$N$7)/30,0)=11,1,0)</formula>
    </cfRule>
  </conditionalFormatting>
  <conditionalFormatting sqref="O18:O21 O23">
    <cfRule type="expression" dxfId="4" priority="26">
      <formula>IF(ROUND(($N$14-$N$7)/30,0)=12,1,0)</formula>
    </cfRule>
  </conditionalFormatting>
  <printOptions/>
  <pageMargins bottom="0.75" footer="0.0" header="0.0" left="0.7" right="0.7" top="0.75"/>
  <pageSetup scale="4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64.0"/>
    <col customWidth="1" min="3" max="3" width="22.71"/>
    <col customWidth="1" min="4" max="4" width="11.43"/>
    <col customWidth="1" min="5" max="8" width="11.57"/>
    <col customWidth="1" min="9" max="9" width="13.43"/>
    <col customWidth="1" min="10" max="10" width="14.71"/>
    <col customWidth="1" min="11" max="11" width="14.57"/>
    <col customWidth="1" min="12" max="12" width="13.14"/>
    <col customWidth="1" min="13" max="13" width="13.0"/>
    <col customWidth="1" min="14" max="14" width="14.0"/>
    <col customWidth="1" min="15" max="15" width="14.29"/>
    <col customWidth="1" min="16" max="16" width="9.14"/>
    <col customWidth="1" min="17" max="17" width="10.29"/>
    <col customWidth="1" min="18" max="26" width="9.14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B4" s="1"/>
      <c r="C4" s="1"/>
      <c r="D4" s="2" t="s">
        <v>0</v>
      </c>
      <c r="F4" s="1"/>
      <c r="G4" s="1"/>
      <c r="H4" s="1"/>
      <c r="I4" s="1"/>
      <c r="J4" s="1"/>
      <c r="K4" s="1"/>
    </row>
    <row r="5">
      <c r="B5" s="3"/>
      <c r="C5" s="3"/>
      <c r="D5" s="1"/>
      <c r="E5" s="1"/>
      <c r="F5" s="1"/>
      <c r="G5" s="1"/>
      <c r="H5" s="1"/>
      <c r="I5" s="1"/>
      <c r="J5" s="1"/>
      <c r="K5" s="1"/>
    </row>
    <row r="6" ht="15.0" customHeight="1">
      <c r="B6" s="1"/>
      <c r="C6" s="1"/>
      <c r="D6" s="1"/>
      <c r="E6" s="1"/>
      <c r="F6" s="1"/>
      <c r="G6" s="1"/>
      <c r="H6" s="1"/>
      <c r="I6" s="1"/>
      <c r="J6" s="1"/>
      <c r="K6" s="4"/>
      <c r="L6" s="5"/>
      <c r="M6" s="5"/>
      <c r="N6" s="6"/>
      <c r="O6" s="7"/>
      <c r="P6" s="4"/>
    </row>
    <row r="7" ht="16.5" customHeight="1">
      <c r="B7" s="1"/>
      <c r="C7" s="1"/>
      <c r="D7" s="1"/>
      <c r="E7" s="1"/>
      <c r="F7" s="1"/>
      <c r="G7" s="1"/>
      <c r="H7" s="1"/>
      <c r="I7" s="1"/>
      <c r="J7" s="1"/>
      <c r="K7" s="8"/>
      <c r="L7" s="9"/>
      <c r="M7" s="9"/>
      <c r="N7" s="10"/>
      <c r="O7" s="7"/>
      <c r="P7" s="8"/>
    </row>
    <row r="8" ht="16.5" customHeight="1">
      <c r="B8" s="11" t="s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7"/>
      <c r="P8" s="8"/>
    </row>
    <row r="9" ht="16.5" customHeight="1">
      <c r="Q9" s="8"/>
    </row>
    <row r="10" ht="16.5" customHeight="1">
      <c r="B10" s="13" t="s">
        <v>2</v>
      </c>
      <c r="C10" s="14" t="s">
        <v>3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  <c r="Q10" s="8"/>
    </row>
    <row r="11" ht="16.5" customHeight="1">
      <c r="B11" s="17" t="s">
        <v>4</v>
      </c>
      <c r="C11" s="14" t="s">
        <v>5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Q11" s="8"/>
    </row>
    <row r="12" ht="16.5" customHeight="1">
      <c r="B12" s="20" t="s">
        <v>6</v>
      </c>
      <c r="C12" s="21" t="s">
        <v>7</v>
      </c>
      <c r="D12" s="22"/>
      <c r="E12" s="23" t="s">
        <v>8</v>
      </c>
      <c r="F12" s="24"/>
      <c r="G12" s="25" t="s">
        <v>9</v>
      </c>
      <c r="H12" s="26"/>
      <c r="I12" s="22"/>
      <c r="J12" s="23" t="s">
        <v>10</v>
      </c>
      <c r="K12" s="24"/>
      <c r="L12" s="27" t="s">
        <v>11</v>
      </c>
      <c r="M12" s="28"/>
      <c r="N12" s="29"/>
      <c r="O12" s="30"/>
      <c r="P12" s="8"/>
    </row>
    <row r="13" ht="16.5" customHeight="1"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8"/>
    </row>
    <row r="14" ht="16.5" customHeight="1">
      <c r="B14" s="1"/>
      <c r="C14" s="1"/>
      <c r="D14" s="1"/>
      <c r="E14" s="1"/>
      <c r="F14" s="1"/>
      <c r="G14" s="1"/>
      <c r="H14" s="1"/>
      <c r="I14" s="1"/>
      <c r="J14" s="1"/>
      <c r="K14" s="8"/>
      <c r="L14" s="9"/>
      <c r="M14" s="33"/>
      <c r="N14" s="10"/>
      <c r="O14" s="7"/>
      <c r="P14" s="8"/>
      <c r="Q14" s="34"/>
    </row>
    <row r="15" ht="16.5" customHeight="1">
      <c r="B15" s="1"/>
      <c r="C15" s="1"/>
      <c r="D15" s="1"/>
      <c r="E15" s="1"/>
      <c r="F15" s="1"/>
      <c r="G15" s="1"/>
      <c r="H15" s="1"/>
      <c r="I15" s="1"/>
      <c r="J15" s="1"/>
      <c r="K15" s="8"/>
      <c r="L15" s="9"/>
      <c r="M15" s="33"/>
      <c r="N15" s="10"/>
      <c r="O15" s="7"/>
      <c r="P15" s="8"/>
      <c r="Q15" s="34"/>
    </row>
    <row r="16" ht="16.5" customHeight="1">
      <c r="B16" s="35"/>
      <c r="C16" s="36"/>
      <c r="D16" s="37" t="s">
        <v>12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4"/>
      <c r="R16" s="34"/>
    </row>
    <row r="17" ht="15.0" customHeight="1">
      <c r="B17" s="40"/>
      <c r="C17" s="41"/>
      <c r="D17" s="42" t="s">
        <v>13</v>
      </c>
      <c r="E17" s="42" t="s">
        <v>14</v>
      </c>
      <c r="F17" s="42" t="s">
        <v>15</v>
      </c>
      <c r="G17" s="42" t="s">
        <v>16</v>
      </c>
      <c r="H17" s="42" t="s">
        <v>17</v>
      </c>
      <c r="I17" s="42" t="s">
        <v>18</v>
      </c>
      <c r="J17" s="42" t="s">
        <v>19</v>
      </c>
      <c r="K17" s="42" t="s">
        <v>20</v>
      </c>
      <c r="L17" s="42" t="s">
        <v>21</v>
      </c>
      <c r="M17" s="42" t="s">
        <v>22</v>
      </c>
      <c r="N17" s="42" t="s">
        <v>23</v>
      </c>
      <c r="O17" s="42" t="s">
        <v>24</v>
      </c>
    </row>
    <row r="18" ht="15.75" hidden="1" customHeight="1">
      <c r="B18" s="43"/>
      <c r="D18" s="44">
        <v>1.0</v>
      </c>
      <c r="E18" s="45">
        <v>2.0</v>
      </c>
      <c r="F18" s="45">
        <v>3.0</v>
      </c>
      <c r="G18" s="45">
        <v>4.0</v>
      </c>
      <c r="H18" s="45">
        <v>5.0</v>
      </c>
      <c r="I18" s="45">
        <v>6.0</v>
      </c>
      <c r="J18" s="45">
        <v>7.0</v>
      </c>
      <c r="K18" s="45">
        <v>8.0</v>
      </c>
      <c r="L18" s="45">
        <v>9.0</v>
      </c>
      <c r="M18" s="45">
        <v>10.0</v>
      </c>
      <c r="N18" s="45">
        <v>11.0</v>
      </c>
      <c r="O18" s="46">
        <v>12.0</v>
      </c>
    </row>
    <row r="19" ht="15.0" customHeight="1">
      <c r="B19" s="17" t="s">
        <v>25</v>
      </c>
      <c r="C19" s="47"/>
      <c r="D19" s="48">
        <v>12000.0</v>
      </c>
      <c r="E19" s="48">
        <v>12000.0</v>
      </c>
      <c r="F19" s="48">
        <v>18000.0</v>
      </c>
      <c r="G19" s="48">
        <v>18000.0</v>
      </c>
      <c r="H19" s="48">
        <v>33000.0</v>
      </c>
      <c r="I19" s="48">
        <v>33000.0</v>
      </c>
      <c r="J19" s="48">
        <v>38000.0</v>
      </c>
      <c r="K19" s="48">
        <v>40000.0</v>
      </c>
      <c r="L19" s="48">
        <v>27000.0</v>
      </c>
      <c r="M19" s="48">
        <v>27000.0</v>
      </c>
      <c r="N19" s="48">
        <v>21000.0</v>
      </c>
      <c r="O19" s="49">
        <v>21000.0</v>
      </c>
    </row>
    <row r="20" ht="15.0" customHeight="1">
      <c r="B20" s="17" t="s">
        <v>26</v>
      </c>
      <c r="C20" s="47" t="s">
        <v>27</v>
      </c>
      <c r="D20" s="50">
        <f>D19</f>
        <v>12000</v>
      </c>
      <c r="E20" s="50">
        <f>D19+E19</f>
        <v>24000</v>
      </c>
      <c r="F20" s="50">
        <f t="shared" ref="F20:O20" si="1">E20+F19</f>
        <v>42000</v>
      </c>
      <c r="G20" s="50">
        <f t="shared" si="1"/>
        <v>60000</v>
      </c>
      <c r="H20" s="50">
        <f t="shared" si="1"/>
        <v>93000</v>
      </c>
      <c r="I20" s="50">
        <f t="shared" si="1"/>
        <v>126000</v>
      </c>
      <c r="J20" s="50">
        <f t="shared" si="1"/>
        <v>164000</v>
      </c>
      <c r="K20" s="50">
        <f t="shared" si="1"/>
        <v>204000</v>
      </c>
      <c r="L20" s="50">
        <f t="shared" si="1"/>
        <v>231000</v>
      </c>
      <c r="M20" s="50">
        <f t="shared" si="1"/>
        <v>258000</v>
      </c>
      <c r="N20" s="50">
        <f t="shared" si="1"/>
        <v>279000</v>
      </c>
      <c r="O20" s="51">
        <f t="shared" si="1"/>
        <v>300000</v>
      </c>
    </row>
    <row r="21" ht="15.0" customHeight="1">
      <c r="B21" s="17" t="s">
        <v>28</v>
      </c>
      <c r="C21" s="47"/>
      <c r="D21" s="52">
        <v>12000.0</v>
      </c>
      <c r="E21" s="52">
        <v>12000.0</v>
      </c>
      <c r="F21" s="52">
        <v>18000.0</v>
      </c>
      <c r="G21" s="52">
        <v>18000.0</v>
      </c>
      <c r="H21" s="52"/>
      <c r="I21" s="52"/>
      <c r="J21" s="52"/>
      <c r="K21" s="52"/>
      <c r="L21" s="52"/>
      <c r="M21" s="52"/>
      <c r="N21" s="52"/>
      <c r="O21" s="53"/>
    </row>
    <row r="22" ht="15.75" customHeight="1">
      <c r="B22" s="17" t="s">
        <v>29</v>
      </c>
      <c r="C22" s="47" t="s">
        <v>30</v>
      </c>
      <c r="D22" s="50">
        <f>D21</f>
        <v>12000</v>
      </c>
      <c r="E22" s="50">
        <f>D21+E21</f>
        <v>24000</v>
      </c>
      <c r="F22" s="50">
        <f t="shared" ref="F22:O22" si="2">E22+F21</f>
        <v>42000</v>
      </c>
      <c r="G22" s="50">
        <f t="shared" si="2"/>
        <v>60000</v>
      </c>
      <c r="H22" s="50">
        <f t="shared" si="2"/>
        <v>60000</v>
      </c>
      <c r="I22" s="50">
        <f t="shared" si="2"/>
        <v>60000</v>
      </c>
      <c r="J22" s="50">
        <f t="shared" si="2"/>
        <v>60000</v>
      </c>
      <c r="K22" s="50">
        <f t="shared" si="2"/>
        <v>60000</v>
      </c>
      <c r="L22" s="50">
        <f t="shared" si="2"/>
        <v>60000</v>
      </c>
      <c r="M22" s="50">
        <f t="shared" si="2"/>
        <v>60000</v>
      </c>
      <c r="N22" s="50">
        <f t="shared" si="2"/>
        <v>60000</v>
      </c>
      <c r="O22" s="50">
        <f t="shared" si="2"/>
        <v>60000</v>
      </c>
    </row>
    <row r="23" ht="15.75" customHeight="1">
      <c r="B23" s="17" t="s">
        <v>31</v>
      </c>
      <c r="C23" s="47" t="s">
        <v>32</v>
      </c>
      <c r="D23" s="54">
        <v>0.0833</v>
      </c>
      <c r="E23" s="54">
        <v>0.1666</v>
      </c>
      <c r="F23" s="55">
        <v>0.2499</v>
      </c>
      <c r="G23" s="55">
        <v>0.3332</v>
      </c>
      <c r="H23" s="56"/>
      <c r="I23" s="56"/>
      <c r="J23" s="56"/>
      <c r="K23" s="56"/>
      <c r="L23" s="56"/>
      <c r="M23" s="56"/>
      <c r="N23" s="56"/>
      <c r="O23" s="57"/>
    </row>
    <row r="24" ht="15.75" customHeight="1">
      <c r="B24" s="17" t="s">
        <v>33</v>
      </c>
      <c r="C24" s="47"/>
      <c r="D24" s="50">
        <f t="shared" ref="D24:O24" si="3">D23*$C$27</f>
        <v>24990</v>
      </c>
      <c r="E24" s="50">
        <f t="shared" si="3"/>
        <v>49980</v>
      </c>
      <c r="F24" s="50">
        <f t="shared" si="3"/>
        <v>74970</v>
      </c>
      <c r="G24" s="50">
        <f t="shared" si="3"/>
        <v>99960</v>
      </c>
      <c r="H24" s="50">
        <f t="shared" si="3"/>
        <v>0</v>
      </c>
      <c r="I24" s="50">
        <f t="shared" si="3"/>
        <v>0</v>
      </c>
      <c r="J24" s="50">
        <f t="shared" si="3"/>
        <v>0</v>
      </c>
      <c r="K24" s="50">
        <f t="shared" si="3"/>
        <v>0</v>
      </c>
      <c r="L24" s="50">
        <f t="shared" si="3"/>
        <v>0</v>
      </c>
      <c r="M24" s="50">
        <f t="shared" si="3"/>
        <v>0</v>
      </c>
      <c r="N24" s="50">
        <f t="shared" si="3"/>
        <v>0</v>
      </c>
      <c r="O24" s="50">
        <f t="shared" si="3"/>
        <v>0</v>
      </c>
    </row>
    <row r="25" ht="15.75" customHeight="1">
      <c r="B25" s="20" t="s">
        <v>34</v>
      </c>
      <c r="C25" s="58" t="s">
        <v>35</v>
      </c>
      <c r="D25" s="50">
        <f>D24</f>
        <v>24990</v>
      </c>
      <c r="E25" s="50">
        <f>D24+E24</f>
        <v>74970</v>
      </c>
      <c r="F25" s="50">
        <f t="shared" ref="F25:O25" si="4">E25+F24</f>
        <v>149940</v>
      </c>
      <c r="G25" s="50">
        <f t="shared" si="4"/>
        <v>249900</v>
      </c>
      <c r="H25" s="50">
        <f t="shared" si="4"/>
        <v>249900</v>
      </c>
      <c r="I25" s="50">
        <f t="shared" si="4"/>
        <v>249900</v>
      </c>
      <c r="J25" s="50">
        <f t="shared" si="4"/>
        <v>249900</v>
      </c>
      <c r="K25" s="50">
        <f t="shared" si="4"/>
        <v>249900</v>
      </c>
      <c r="L25" s="50">
        <f t="shared" si="4"/>
        <v>249900</v>
      </c>
      <c r="M25" s="50">
        <f t="shared" si="4"/>
        <v>249900</v>
      </c>
      <c r="N25" s="50">
        <f t="shared" si="4"/>
        <v>249900</v>
      </c>
      <c r="O25" s="50">
        <f t="shared" si="4"/>
        <v>249900</v>
      </c>
    </row>
    <row r="26" ht="15.75" customHeight="1">
      <c r="C26" s="59" t="s">
        <v>36</v>
      </c>
    </row>
    <row r="27" ht="15.75" customHeight="1">
      <c r="B27" s="60" t="s">
        <v>53</v>
      </c>
      <c r="C27" s="61">
        <f>O20</f>
        <v>300000</v>
      </c>
      <c r="D27" s="59"/>
    </row>
    <row r="28" ht="15.75" customHeight="1">
      <c r="C28" s="62"/>
      <c r="D28" s="59"/>
    </row>
    <row r="29" ht="15.75" customHeight="1">
      <c r="B29" s="63" t="s">
        <v>38</v>
      </c>
      <c r="C29" s="64" t="s">
        <v>39</v>
      </c>
    </row>
    <row r="30" ht="18.75" customHeight="1">
      <c r="B30" s="65" t="s">
        <v>54</v>
      </c>
      <c r="C30" s="66">
        <f>E25-E22</f>
        <v>50970</v>
      </c>
      <c r="D30" s="67"/>
      <c r="E30" s="67"/>
    </row>
    <row r="31" ht="30.75" customHeight="1">
      <c r="B31" s="65" t="s">
        <v>55</v>
      </c>
      <c r="C31" s="68">
        <f>E25-E20</f>
        <v>50970</v>
      </c>
    </row>
    <row r="32" ht="33.0" customHeight="1">
      <c r="B32" s="65" t="s">
        <v>56</v>
      </c>
      <c r="C32" s="69">
        <f>E25/E22</f>
        <v>3.12375</v>
      </c>
    </row>
    <row r="33" ht="36.0" customHeight="1">
      <c r="B33" s="65" t="s">
        <v>57</v>
      </c>
      <c r="C33" s="69">
        <f>E25/E20</f>
        <v>3.12375</v>
      </c>
    </row>
    <row r="34" ht="35.25" customHeight="1">
      <c r="B34" s="70" t="s">
        <v>58</v>
      </c>
      <c r="C34" s="71">
        <f>C27/C32</f>
        <v>96038.41537</v>
      </c>
    </row>
    <row r="35" ht="15.75" customHeight="1"/>
    <row r="36" ht="15.75" customHeight="1"/>
    <row r="37" ht="15.75" customHeight="1">
      <c r="B37" s="72" t="s">
        <v>45</v>
      </c>
    </row>
    <row r="38" ht="15.75" customHeight="1">
      <c r="B38" s="73" t="s">
        <v>46</v>
      </c>
    </row>
    <row r="39" ht="15.75" customHeight="1">
      <c r="B39" s="72"/>
    </row>
    <row r="40" ht="15.75" customHeight="1">
      <c r="B40" s="72" t="s">
        <v>47</v>
      </c>
    </row>
    <row r="41" ht="15.75" customHeight="1">
      <c r="B41" s="73" t="s">
        <v>48</v>
      </c>
    </row>
    <row r="42" ht="15.75" customHeight="1">
      <c r="B42" s="72"/>
    </row>
    <row r="43" ht="15.75" customHeight="1">
      <c r="B43" s="72" t="s">
        <v>49</v>
      </c>
    </row>
    <row r="44" ht="15.75" customHeight="1">
      <c r="B44" s="73" t="s">
        <v>50</v>
      </c>
    </row>
    <row r="45" ht="15.75" customHeight="1">
      <c r="B45" s="72"/>
    </row>
    <row r="46" ht="15.75" customHeight="1">
      <c r="B46" s="72" t="s">
        <v>51</v>
      </c>
    </row>
    <row r="47" ht="15.75" customHeight="1">
      <c r="B47" s="73" t="s">
        <v>52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N6:O6"/>
    <mergeCell ref="N7:O7"/>
    <mergeCell ref="B8:O8"/>
    <mergeCell ref="C12:D12"/>
    <mergeCell ref="G12:I12"/>
    <mergeCell ref="N14:O14"/>
    <mergeCell ref="N15:O15"/>
    <mergeCell ref="D16:O16"/>
  </mergeCells>
  <conditionalFormatting sqref="C27">
    <cfRule type="expression" dxfId="4" priority="1">
      <formula>IF(ROUND(($N$14-$N$7)/30,0)=12,1,0)</formula>
    </cfRule>
  </conditionalFormatting>
  <conditionalFormatting sqref="C30:C31">
    <cfRule type="expression" dxfId="5" priority="2">
      <formula>IF(ROUND(($N$14-$N$7)/30,0)=1,1,0)</formula>
    </cfRule>
  </conditionalFormatting>
  <conditionalFormatting sqref="D18:D25 E23 E24:O24">
    <cfRule type="expression" dxfId="5" priority="3">
      <formula>IF(ROUND(($N$14-$N$7)/30,0)=1,1,0)</formula>
    </cfRule>
  </conditionalFormatting>
  <conditionalFormatting sqref="E18:E22">
    <cfRule type="expression" dxfId="4" priority="4">
      <formula>IF(ROUND(($N$14-$N$7)/30,0)=2,1,0)</formula>
    </cfRule>
  </conditionalFormatting>
  <conditionalFormatting sqref="E25">
    <cfRule type="expression" dxfId="4" priority="5">
      <formula>IF(ROUND(($N$14-$N$7)/30,0)=2,1,0)</formula>
    </cfRule>
  </conditionalFormatting>
  <conditionalFormatting sqref="F18:F23">
    <cfRule type="expression" dxfId="4" priority="6">
      <formula>IF(ROUND(($N$14-$N$7)/30,0)=3,1,0)</formula>
    </cfRule>
  </conditionalFormatting>
  <conditionalFormatting sqref="F25">
    <cfRule type="expression" dxfId="4" priority="7">
      <formula>IF(ROUND(($N$14-$N$7)/30,0)=3,1,0)</formula>
    </cfRule>
  </conditionalFormatting>
  <conditionalFormatting sqref="G18:G23">
    <cfRule type="expression" dxfId="4" priority="8">
      <formula>IF(ROUND(($N$14-$N$7)/30,0)=4,1,0)</formula>
    </cfRule>
  </conditionalFormatting>
  <conditionalFormatting sqref="G25">
    <cfRule type="expression" dxfId="4" priority="9">
      <formula>IF(ROUND(($N$14-$N$7)/30,0)=4,1,0)</formula>
    </cfRule>
  </conditionalFormatting>
  <conditionalFormatting sqref="H18:H23">
    <cfRule type="expression" dxfId="4" priority="10">
      <formula>IF(ROUND(($N$14-$N$7)/30,0)=5,1,0)</formula>
    </cfRule>
  </conditionalFormatting>
  <conditionalFormatting sqref="H25">
    <cfRule type="expression" dxfId="4" priority="11">
      <formula>IF(ROUND(($N$14-$N$7)/30,0)=5,1,0)</formula>
    </cfRule>
  </conditionalFormatting>
  <conditionalFormatting sqref="I18:I23">
    <cfRule type="expression" dxfId="4" priority="12">
      <formula>IF(ROUND(($N$14-$N$7)/30,0)=6,1,0)</formula>
    </cfRule>
  </conditionalFormatting>
  <conditionalFormatting sqref="I25">
    <cfRule type="expression" dxfId="4" priority="13">
      <formula>IF(ROUND(($N$14-$N$7)/30,0)=6,1,0)</formula>
    </cfRule>
  </conditionalFormatting>
  <conditionalFormatting sqref="J18:J23">
    <cfRule type="expression" dxfId="4" priority="14">
      <formula>IF(ROUND(($N$14-$N$7)/30,0)=7,1,0)</formula>
    </cfRule>
  </conditionalFormatting>
  <conditionalFormatting sqref="K18:K21">
    <cfRule type="expression" dxfId="4" priority="15">
      <formula>IF(ROUND(($N$14-$N$7)/30,0)=8,1,0)</formula>
    </cfRule>
  </conditionalFormatting>
  <conditionalFormatting sqref="K23">
    <cfRule type="expression" dxfId="4" priority="16">
      <formula>IF(ROUND(($N$14-$N$7)/30,0)=8,1,0)</formula>
    </cfRule>
  </conditionalFormatting>
  <conditionalFormatting sqref="K22:O22">
    <cfRule type="expression" dxfId="4" priority="17">
      <formula>IF(ROUND(($N$14-$N$7)/30,0)=7,1,0)</formula>
    </cfRule>
  </conditionalFormatting>
  <conditionalFormatting sqref="K25:O25">
    <cfRule type="expression" dxfId="4" priority="18">
      <formula>IF(ROUND(($N$14-$N$7)/30,0)=7,1,0)</formula>
    </cfRule>
  </conditionalFormatting>
  <conditionalFormatting sqref="L18:L21">
    <cfRule type="expression" dxfId="4" priority="19">
      <formula>IF(ROUND(($N$14-$N$7)/30,0)=9,1,0)</formula>
    </cfRule>
  </conditionalFormatting>
  <conditionalFormatting sqref="L23">
    <cfRule type="expression" dxfId="4" priority="20">
      <formula>IF(ROUND(($N$14-$N$7)/30,0)=9,1,0)</formula>
    </cfRule>
  </conditionalFormatting>
  <conditionalFormatting sqref="M18:M21">
    <cfRule type="expression" dxfId="4" priority="21">
      <formula>IF(ROUND(($N$14-$N$7)/30,0)=10,1,0)</formula>
    </cfRule>
  </conditionalFormatting>
  <conditionalFormatting sqref="M23">
    <cfRule type="expression" dxfId="4" priority="22">
      <formula>IF(ROUND(($N$14-$N$7)/30,0)=10,1,0)</formula>
    </cfRule>
  </conditionalFormatting>
  <conditionalFormatting sqref="M12 N6:N7 N9:N11 N13:N15">
    <cfRule type="expression" dxfId="4" priority="23">
      <formula>IF(ROUND(($N$14-$N$7)/30,0)=3,1,0)</formula>
    </cfRule>
  </conditionalFormatting>
  <conditionalFormatting sqref="N18:N21">
    <cfRule type="expression" dxfId="4" priority="24">
      <formula>IF(ROUND(($N$14-$N$7)/30,0)=11,1,0)</formula>
    </cfRule>
  </conditionalFormatting>
  <conditionalFormatting sqref="N23">
    <cfRule type="expression" dxfId="4" priority="25">
      <formula>IF(ROUND(($N$14-$N$7)/30,0)=11,1,0)</formula>
    </cfRule>
  </conditionalFormatting>
  <conditionalFormatting sqref="O18:O21 O23">
    <cfRule type="expression" dxfId="4" priority="26">
      <formula>IF(ROUND(($N$14-$N$7)/30,0)=12,1,0)</formula>
    </cfRule>
  </conditionalFormatting>
  <printOptions/>
  <pageMargins bottom="0.75" footer="0.0" header="0.0" left="0.7" right="0.7" top="0.75"/>
  <pageSetup scale="4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64.0"/>
    <col customWidth="1" min="3" max="3" width="22.71"/>
    <col customWidth="1" min="4" max="4" width="11.43"/>
    <col customWidth="1" min="5" max="8" width="11.57"/>
    <col customWidth="1" min="9" max="9" width="13.43"/>
    <col customWidth="1" min="10" max="10" width="14.71"/>
    <col customWidth="1" min="11" max="11" width="14.57"/>
    <col customWidth="1" min="12" max="12" width="13.14"/>
    <col customWidth="1" min="13" max="13" width="13.0"/>
    <col customWidth="1" min="14" max="14" width="14.0"/>
    <col customWidth="1" min="15" max="15" width="14.29"/>
    <col customWidth="1" min="16" max="16" width="9.14"/>
    <col customWidth="1" min="17" max="17" width="10.29"/>
    <col customWidth="1" min="18" max="26" width="9.14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B4" s="1"/>
      <c r="C4" s="1"/>
      <c r="D4" s="2" t="s">
        <v>0</v>
      </c>
      <c r="F4" s="1"/>
      <c r="G4" s="1"/>
      <c r="H4" s="1"/>
      <c r="I4" s="1"/>
      <c r="J4" s="1"/>
      <c r="K4" s="1"/>
    </row>
    <row r="5">
      <c r="B5" s="3"/>
      <c r="C5" s="3"/>
      <c r="D5" s="1"/>
      <c r="E5" s="1"/>
      <c r="F5" s="1"/>
      <c r="G5" s="1"/>
      <c r="H5" s="1"/>
      <c r="I5" s="1"/>
      <c r="J5" s="1"/>
      <c r="K5" s="1"/>
    </row>
    <row r="6" ht="15.0" customHeight="1">
      <c r="B6" s="1"/>
      <c r="C6" s="1"/>
      <c r="D6" s="1"/>
      <c r="E6" s="1"/>
      <c r="F6" s="1"/>
      <c r="G6" s="1"/>
      <c r="H6" s="1"/>
      <c r="I6" s="1"/>
      <c r="J6" s="1"/>
      <c r="K6" s="4"/>
      <c r="L6" s="5"/>
      <c r="M6" s="5"/>
      <c r="N6" s="6"/>
      <c r="O6" s="7"/>
      <c r="P6" s="4"/>
    </row>
    <row r="7" ht="16.5" customHeight="1">
      <c r="B7" s="1"/>
      <c r="C7" s="1"/>
      <c r="D7" s="1"/>
      <c r="E7" s="1"/>
      <c r="F7" s="1"/>
      <c r="G7" s="1"/>
      <c r="H7" s="1"/>
      <c r="I7" s="1"/>
      <c r="J7" s="1"/>
      <c r="K7" s="8"/>
      <c r="L7" s="9"/>
      <c r="M7" s="9"/>
      <c r="N7" s="10"/>
      <c r="O7" s="7"/>
      <c r="P7" s="8"/>
    </row>
    <row r="8" ht="16.5" customHeight="1">
      <c r="B8" s="11" t="s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7"/>
      <c r="P8" s="8"/>
    </row>
    <row r="9" ht="16.5" customHeight="1">
      <c r="Q9" s="8"/>
    </row>
    <row r="10" ht="16.5" customHeight="1">
      <c r="B10" s="13" t="s">
        <v>2</v>
      </c>
      <c r="C10" s="14" t="s">
        <v>3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  <c r="Q10" s="8"/>
    </row>
    <row r="11" ht="16.5" customHeight="1">
      <c r="B11" s="17" t="s">
        <v>4</v>
      </c>
      <c r="C11" s="14" t="s">
        <v>5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Q11" s="8"/>
    </row>
    <row r="12" ht="16.5" customHeight="1">
      <c r="B12" s="20" t="s">
        <v>6</v>
      </c>
      <c r="C12" s="21" t="s">
        <v>7</v>
      </c>
      <c r="D12" s="22"/>
      <c r="E12" s="23" t="s">
        <v>8</v>
      </c>
      <c r="F12" s="24"/>
      <c r="G12" s="25" t="s">
        <v>9</v>
      </c>
      <c r="H12" s="26"/>
      <c r="I12" s="22"/>
      <c r="J12" s="23" t="s">
        <v>10</v>
      </c>
      <c r="K12" s="24"/>
      <c r="L12" s="27" t="s">
        <v>11</v>
      </c>
      <c r="M12" s="28"/>
      <c r="N12" s="29"/>
      <c r="O12" s="30"/>
      <c r="P12" s="8"/>
    </row>
    <row r="13" ht="16.5" customHeight="1"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8"/>
    </row>
    <row r="14" ht="16.5" customHeight="1">
      <c r="B14" s="1"/>
      <c r="C14" s="1"/>
      <c r="D14" s="1"/>
      <c r="E14" s="1"/>
      <c r="F14" s="1"/>
      <c r="G14" s="1"/>
      <c r="H14" s="1"/>
      <c r="I14" s="1"/>
      <c r="J14" s="1"/>
      <c r="K14" s="8"/>
      <c r="L14" s="9"/>
      <c r="M14" s="33"/>
      <c r="N14" s="10"/>
      <c r="O14" s="7"/>
      <c r="P14" s="8"/>
      <c r="Q14" s="34"/>
    </row>
    <row r="15" ht="16.5" customHeight="1">
      <c r="B15" s="1"/>
      <c r="C15" s="1"/>
      <c r="D15" s="1"/>
      <c r="E15" s="1"/>
      <c r="F15" s="1"/>
      <c r="G15" s="1"/>
      <c r="H15" s="1"/>
      <c r="I15" s="1"/>
      <c r="J15" s="1"/>
      <c r="K15" s="8"/>
      <c r="L15" s="9"/>
      <c r="M15" s="33"/>
      <c r="N15" s="10"/>
      <c r="O15" s="7"/>
      <c r="P15" s="8"/>
      <c r="Q15" s="34"/>
    </row>
    <row r="16" ht="16.5" customHeight="1">
      <c r="B16" s="35"/>
      <c r="C16" s="36"/>
      <c r="D16" s="37" t="s">
        <v>12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4"/>
      <c r="R16" s="34"/>
    </row>
    <row r="17" ht="15.0" customHeight="1">
      <c r="B17" s="40"/>
      <c r="C17" s="41"/>
      <c r="D17" s="42" t="s">
        <v>13</v>
      </c>
      <c r="E17" s="42" t="s">
        <v>14</v>
      </c>
      <c r="F17" s="42" t="s">
        <v>15</v>
      </c>
      <c r="G17" s="42" t="s">
        <v>16</v>
      </c>
      <c r="H17" s="42" t="s">
        <v>17</v>
      </c>
      <c r="I17" s="42" t="s">
        <v>18</v>
      </c>
      <c r="J17" s="42" t="s">
        <v>19</v>
      </c>
      <c r="K17" s="42" t="s">
        <v>20</v>
      </c>
      <c r="L17" s="42" t="s">
        <v>21</v>
      </c>
      <c r="M17" s="42" t="s">
        <v>22</v>
      </c>
      <c r="N17" s="42" t="s">
        <v>23</v>
      </c>
      <c r="O17" s="42" t="s">
        <v>24</v>
      </c>
    </row>
    <row r="18" ht="15.75" hidden="1" customHeight="1">
      <c r="B18" s="43"/>
      <c r="D18" s="44">
        <v>1.0</v>
      </c>
      <c r="E18" s="45">
        <v>2.0</v>
      </c>
      <c r="F18" s="45">
        <v>3.0</v>
      </c>
      <c r="G18" s="45">
        <v>4.0</v>
      </c>
      <c r="H18" s="45">
        <v>5.0</v>
      </c>
      <c r="I18" s="45">
        <v>6.0</v>
      </c>
      <c r="J18" s="45">
        <v>7.0</v>
      </c>
      <c r="K18" s="45">
        <v>8.0</v>
      </c>
      <c r="L18" s="45">
        <v>9.0</v>
      </c>
      <c r="M18" s="45">
        <v>10.0</v>
      </c>
      <c r="N18" s="45">
        <v>11.0</v>
      </c>
      <c r="O18" s="46">
        <v>12.0</v>
      </c>
    </row>
    <row r="19" ht="15.0" customHeight="1">
      <c r="B19" s="17" t="s">
        <v>25</v>
      </c>
      <c r="C19" s="47"/>
      <c r="D19" s="48">
        <v>12000.0</v>
      </c>
      <c r="E19" s="48">
        <v>12000.0</v>
      </c>
      <c r="F19" s="48">
        <v>18000.0</v>
      </c>
      <c r="G19" s="48">
        <v>18000.0</v>
      </c>
      <c r="H19" s="48">
        <v>33000.0</v>
      </c>
      <c r="I19" s="48">
        <v>33000.0</v>
      </c>
      <c r="J19" s="48">
        <v>38000.0</v>
      </c>
      <c r="K19" s="48">
        <v>40000.0</v>
      </c>
      <c r="L19" s="48">
        <v>27000.0</v>
      </c>
      <c r="M19" s="48">
        <v>27000.0</v>
      </c>
      <c r="N19" s="48">
        <v>21000.0</v>
      </c>
      <c r="O19" s="49">
        <v>21000.0</v>
      </c>
    </row>
    <row r="20" ht="15.0" customHeight="1">
      <c r="B20" s="17" t="s">
        <v>26</v>
      </c>
      <c r="C20" s="47" t="s">
        <v>27</v>
      </c>
      <c r="D20" s="50">
        <f>D19</f>
        <v>12000</v>
      </c>
      <c r="E20" s="50">
        <f>D19+E19</f>
        <v>24000</v>
      </c>
      <c r="F20" s="50">
        <f t="shared" ref="F20:O20" si="1">E20+F19</f>
        <v>42000</v>
      </c>
      <c r="G20" s="50">
        <f t="shared" si="1"/>
        <v>60000</v>
      </c>
      <c r="H20" s="50">
        <f t="shared" si="1"/>
        <v>93000</v>
      </c>
      <c r="I20" s="50">
        <f t="shared" si="1"/>
        <v>126000</v>
      </c>
      <c r="J20" s="50">
        <f t="shared" si="1"/>
        <v>164000</v>
      </c>
      <c r="K20" s="50">
        <f t="shared" si="1"/>
        <v>204000</v>
      </c>
      <c r="L20" s="50">
        <f t="shared" si="1"/>
        <v>231000</v>
      </c>
      <c r="M20" s="50">
        <f t="shared" si="1"/>
        <v>258000</v>
      </c>
      <c r="N20" s="50">
        <f t="shared" si="1"/>
        <v>279000</v>
      </c>
      <c r="O20" s="51">
        <f t="shared" si="1"/>
        <v>300000</v>
      </c>
    </row>
    <row r="21" ht="15.0" customHeight="1">
      <c r="B21" s="17" t="s">
        <v>28</v>
      </c>
      <c r="C21" s="47"/>
      <c r="D21" s="52">
        <v>12000.0</v>
      </c>
      <c r="E21" s="52">
        <v>12000.0</v>
      </c>
      <c r="F21" s="52">
        <v>18000.0</v>
      </c>
      <c r="G21" s="52">
        <v>18000.0</v>
      </c>
      <c r="H21" s="74">
        <v>33000.0</v>
      </c>
      <c r="I21" s="74">
        <v>33000.0</v>
      </c>
      <c r="J21" s="52"/>
      <c r="K21" s="52"/>
      <c r="L21" s="52"/>
      <c r="M21" s="52"/>
      <c r="N21" s="52"/>
      <c r="O21" s="53"/>
    </row>
    <row r="22" ht="15.75" customHeight="1">
      <c r="B22" s="17" t="s">
        <v>29</v>
      </c>
      <c r="C22" s="47" t="s">
        <v>30</v>
      </c>
      <c r="D22" s="50">
        <f>D21</f>
        <v>12000</v>
      </c>
      <c r="E22" s="50">
        <f>D21+E21</f>
        <v>24000</v>
      </c>
      <c r="F22" s="50">
        <f t="shared" ref="F22:O22" si="2">E22+F21</f>
        <v>42000</v>
      </c>
      <c r="G22" s="50">
        <f t="shared" si="2"/>
        <v>60000</v>
      </c>
      <c r="H22" s="50">
        <f t="shared" si="2"/>
        <v>93000</v>
      </c>
      <c r="I22" s="50">
        <f t="shared" si="2"/>
        <v>126000</v>
      </c>
      <c r="J22" s="50">
        <f t="shared" si="2"/>
        <v>126000</v>
      </c>
      <c r="K22" s="50">
        <f t="shared" si="2"/>
        <v>126000</v>
      </c>
      <c r="L22" s="50">
        <f t="shared" si="2"/>
        <v>126000</v>
      </c>
      <c r="M22" s="50">
        <f t="shared" si="2"/>
        <v>126000</v>
      </c>
      <c r="N22" s="50">
        <f t="shared" si="2"/>
        <v>126000</v>
      </c>
      <c r="O22" s="50">
        <f t="shared" si="2"/>
        <v>126000</v>
      </c>
    </row>
    <row r="23" ht="15.75" customHeight="1">
      <c r="B23" s="17" t="s">
        <v>31</v>
      </c>
      <c r="C23" s="47" t="s">
        <v>32</v>
      </c>
      <c r="D23" s="54">
        <v>0.0833</v>
      </c>
      <c r="E23" s="54">
        <v>0.1666</v>
      </c>
      <c r="F23" s="55">
        <v>0.2499</v>
      </c>
      <c r="G23" s="55">
        <v>0.3332</v>
      </c>
      <c r="H23" s="55">
        <f>G23+D23</f>
        <v>0.4165</v>
      </c>
      <c r="I23" s="55">
        <f>H23+D23</f>
        <v>0.4998</v>
      </c>
      <c r="J23" s="55"/>
      <c r="K23" s="55"/>
      <c r="L23" s="55"/>
      <c r="M23" s="55"/>
      <c r="N23" s="55"/>
      <c r="O23" s="75"/>
    </row>
    <row r="24" ht="15.75" customHeight="1">
      <c r="B24" s="17" t="s">
        <v>33</v>
      </c>
      <c r="C24" s="47"/>
      <c r="D24" s="50">
        <f t="shared" ref="D24:O24" si="3">D23*$C$27</f>
        <v>24990</v>
      </c>
      <c r="E24" s="50">
        <f t="shared" si="3"/>
        <v>49980</v>
      </c>
      <c r="F24" s="50">
        <f t="shared" si="3"/>
        <v>74970</v>
      </c>
      <c r="G24" s="50">
        <f t="shared" si="3"/>
        <v>99960</v>
      </c>
      <c r="H24" s="50">
        <f t="shared" si="3"/>
        <v>124950</v>
      </c>
      <c r="I24" s="50">
        <f t="shared" si="3"/>
        <v>149940</v>
      </c>
      <c r="J24" s="50">
        <f t="shared" si="3"/>
        <v>0</v>
      </c>
      <c r="K24" s="50">
        <f t="shared" si="3"/>
        <v>0</v>
      </c>
      <c r="L24" s="50">
        <f t="shared" si="3"/>
        <v>0</v>
      </c>
      <c r="M24" s="50">
        <f t="shared" si="3"/>
        <v>0</v>
      </c>
      <c r="N24" s="50">
        <f t="shared" si="3"/>
        <v>0</v>
      </c>
      <c r="O24" s="50">
        <f t="shared" si="3"/>
        <v>0</v>
      </c>
    </row>
    <row r="25" ht="15.75" customHeight="1">
      <c r="B25" s="20" t="s">
        <v>34</v>
      </c>
      <c r="C25" s="58" t="s">
        <v>35</v>
      </c>
      <c r="D25" s="50">
        <f>D24</f>
        <v>24990</v>
      </c>
      <c r="E25" s="50">
        <f>D24+E24</f>
        <v>74970</v>
      </c>
      <c r="F25" s="50">
        <f t="shared" ref="F25:O25" si="4">E25+F24</f>
        <v>149940</v>
      </c>
      <c r="G25" s="50">
        <f t="shared" si="4"/>
        <v>249900</v>
      </c>
      <c r="H25" s="50">
        <f t="shared" si="4"/>
        <v>374850</v>
      </c>
      <c r="I25" s="50">
        <f t="shared" si="4"/>
        <v>524790</v>
      </c>
      <c r="J25" s="50">
        <f t="shared" si="4"/>
        <v>524790</v>
      </c>
      <c r="K25" s="50">
        <f t="shared" si="4"/>
        <v>524790</v>
      </c>
      <c r="L25" s="50">
        <f t="shared" si="4"/>
        <v>524790</v>
      </c>
      <c r="M25" s="50">
        <f t="shared" si="4"/>
        <v>524790</v>
      </c>
      <c r="N25" s="50">
        <f t="shared" si="4"/>
        <v>524790</v>
      </c>
      <c r="O25" s="50">
        <f t="shared" si="4"/>
        <v>524790</v>
      </c>
    </row>
    <row r="26" ht="15.75" customHeight="1">
      <c r="C26" s="59" t="s">
        <v>36</v>
      </c>
    </row>
    <row r="27" ht="15.75" customHeight="1">
      <c r="B27" s="60" t="s">
        <v>59</v>
      </c>
      <c r="C27" s="61">
        <f>O20</f>
        <v>300000</v>
      </c>
      <c r="D27" s="59"/>
    </row>
    <row r="28" ht="15.75" customHeight="1">
      <c r="C28" s="62"/>
      <c r="D28" s="59"/>
    </row>
    <row r="29" ht="15.75" customHeight="1">
      <c r="B29" s="63" t="s">
        <v>38</v>
      </c>
      <c r="C29" s="64" t="s">
        <v>39</v>
      </c>
    </row>
    <row r="30" ht="18.75" customHeight="1">
      <c r="B30" s="65" t="s">
        <v>60</v>
      </c>
      <c r="C30" s="66">
        <f>E25-E22</f>
        <v>50970</v>
      </c>
      <c r="D30" s="67"/>
      <c r="E30" s="67"/>
    </row>
    <row r="31" ht="30.75" customHeight="1">
      <c r="B31" s="65" t="s">
        <v>61</v>
      </c>
      <c r="C31" s="68">
        <f>E25-E20</f>
        <v>50970</v>
      </c>
    </row>
    <row r="32" ht="33.0" customHeight="1">
      <c r="B32" s="65" t="s">
        <v>62</v>
      </c>
      <c r="C32" s="69">
        <f>E25/E22</f>
        <v>3.12375</v>
      </c>
    </row>
    <row r="33" ht="36.0" customHeight="1">
      <c r="B33" s="65" t="s">
        <v>63</v>
      </c>
      <c r="C33" s="69">
        <f>E25/E20</f>
        <v>3.12375</v>
      </c>
    </row>
    <row r="34" ht="35.25" customHeight="1">
      <c r="B34" s="70" t="s">
        <v>64</v>
      </c>
      <c r="C34" s="71">
        <f>C27/C32</f>
        <v>96038.41537</v>
      </c>
    </row>
    <row r="35" ht="15.75" customHeight="1"/>
    <row r="36" ht="15.75" customHeight="1"/>
    <row r="37" ht="15.75" customHeight="1">
      <c r="B37" s="72" t="s">
        <v>45</v>
      </c>
    </row>
    <row r="38" ht="15.75" customHeight="1">
      <c r="B38" s="73" t="s">
        <v>46</v>
      </c>
    </row>
    <row r="39" ht="15.75" customHeight="1">
      <c r="B39" s="72"/>
    </row>
    <row r="40" ht="15.75" customHeight="1">
      <c r="B40" s="72" t="s">
        <v>47</v>
      </c>
    </row>
    <row r="41" ht="15.75" customHeight="1">
      <c r="B41" s="73" t="s">
        <v>48</v>
      </c>
    </row>
    <row r="42" ht="15.75" customHeight="1">
      <c r="B42" s="72"/>
    </row>
    <row r="43" ht="15.75" customHeight="1">
      <c r="B43" s="72" t="s">
        <v>49</v>
      </c>
    </row>
    <row r="44" ht="15.75" customHeight="1">
      <c r="B44" s="73" t="s">
        <v>50</v>
      </c>
    </row>
    <row r="45" ht="15.75" customHeight="1">
      <c r="B45" s="72"/>
    </row>
    <row r="46" ht="15.75" customHeight="1">
      <c r="B46" s="72" t="s">
        <v>51</v>
      </c>
    </row>
    <row r="47" ht="15.75" customHeight="1">
      <c r="B47" s="73" t="s">
        <v>52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N6:O6"/>
    <mergeCell ref="N7:O7"/>
    <mergeCell ref="B8:O8"/>
    <mergeCell ref="C12:D12"/>
    <mergeCell ref="G12:I12"/>
    <mergeCell ref="N14:O14"/>
    <mergeCell ref="N15:O15"/>
    <mergeCell ref="D16:O16"/>
  </mergeCells>
  <conditionalFormatting sqref="C27">
    <cfRule type="expression" dxfId="4" priority="1">
      <formula>IF(ROUND(($N$14-$N$7)/30,0)=12,1,0)</formula>
    </cfRule>
  </conditionalFormatting>
  <conditionalFormatting sqref="C30:C31">
    <cfRule type="expression" dxfId="5" priority="2">
      <formula>IF(ROUND(($N$14-$N$7)/30,0)=1,1,0)</formula>
    </cfRule>
  </conditionalFormatting>
  <conditionalFormatting sqref="D18:D25 E23 E24:O24">
    <cfRule type="expression" dxfId="5" priority="3">
      <formula>IF(ROUND(($N$14-$N$7)/30,0)=1,1,0)</formula>
    </cfRule>
  </conditionalFormatting>
  <conditionalFormatting sqref="E18:E22">
    <cfRule type="expression" dxfId="4" priority="4">
      <formula>IF(ROUND(($N$14-$N$7)/30,0)=2,1,0)</formula>
    </cfRule>
  </conditionalFormatting>
  <conditionalFormatting sqref="E25">
    <cfRule type="expression" dxfId="4" priority="5">
      <formula>IF(ROUND(($N$14-$N$7)/30,0)=2,1,0)</formula>
    </cfRule>
  </conditionalFormatting>
  <conditionalFormatting sqref="F18:F23">
    <cfRule type="expression" dxfId="4" priority="6">
      <formula>IF(ROUND(($N$14-$N$7)/30,0)=3,1,0)</formula>
    </cfRule>
  </conditionalFormatting>
  <conditionalFormatting sqref="F25">
    <cfRule type="expression" dxfId="4" priority="7">
      <formula>IF(ROUND(($N$14-$N$7)/30,0)=3,1,0)</formula>
    </cfRule>
  </conditionalFormatting>
  <conditionalFormatting sqref="G18:G23">
    <cfRule type="expression" dxfId="4" priority="8">
      <formula>IF(ROUND(($N$14-$N$7)/30,0)=4,1,0)</formula>
    </cfRule>
  </conditionalFormatting>
  <conditionalFormatting sqref="G25">
    <cfRule type="expression" dxfId="4" priority="9">
      <formula>IF(ROUND(($N$14-$N$7)/30,0)=4,1,0)</formula>
    </cfRule>
  </conditionalFormatting>
  <conditionalFormatting sqref="H18:H23">
    <cfRule type="expression" dxfId="4" priority="10">
      <formula>IF(ROUND(($N$14-$N$7)/30,0)=5,1,0)</formula>
    </cfRule>
  </conditionalFormatting>
  <conditionalFormatting sqref="H25">
    <cfRule type="expression" dxfId="4" priority="11">
      <formula>IF(ROUND(($N$14-$N$7)/30,0)=5,1,0)</formula>
    </cfRule>
  </conditionalFormatting>
  <conditionalFormatting sqref="I18:I23">
    <cfRule type="expression" dxfId="4" priority="12">
      <formula>IF(ROUND(($N$14-$N$7)/30,0)=6,1,0)</formula>
    </cfRule>
  </conditionalFormatting>
  <conditionalFormatting sqref="I25">
    <cfRule type="expression" dxfId="4" priority="13">
      <formula>IF(ROUND(($N$14-$N$7)/30,0)=6,1,0)</formula>
    </cfRule>
  </conditionalFormatting>
  <conditionalFormatting sqref="J18:J23">
    <cfRule type="expression" dxfId="4" priority="14">
      <formula>IF(ROUND(($N$14-$N$7)/30,0)=7,1,0)</formula>
    </cfRule>
  </conditionalFormatting>
  <conditionalFormatting sqref="K18:K21">
    <cfRule type="expression" dxfId="4" priority="15">
      <formula>IF(ROUND(($N$14-$N$7)/30,0)=8,1,0)</formula>
    </cfRule>
  </conditionalFormatting>
  <conditionalFormatting sqref="K23">
    <cfRule type="expression" dxfId="4" priority="16">
      <formula>IF(ROUND(($N$14-$N$7)/30,0)=8,1,0)</formula>
    </cfRule>
  </conditionalFormatting>
  <conditionalFormatting sqref="K22:O22">
    <cfRule type="expression" dxfId="4" priority="17">
      <formula>IF(ROUND(($N$14-$N$7)/30,0)=7,1,0)</formula>
    </cfRule>
  </conditionalFormatting>
  <conditionalFormatting sqref="K25:O25">
    <cfRule type="expression" dxfId="4" priority="18">
      <formula>IF(ROUND(($N$14-$N$7)/30,0)=7,1,0)</formula>
    </cfRule>
  </conditionalFormatting>
  <conditionalFormatting sqref="L18:L21">
    <cfRule type="expression" dxfId="4" priority="19">
      <formula>IF(ROUND(($N$14-$N$7)/30,0)=9,1,0)</formula>
    </cfRule>
  </conditionalFormatting>
  <conditionalFormatting sqref="L23">
    <cfRule type="expression" dxfId="4" priority="20">
      <formula>IF(ROUND(($N$14-$N$7)/30,0)=9,1,0)</formula>
    </cfRule>
  </conditionalFormatting>
  <conditionalFormatting sqref="M18:M21">
    <cfRule type="expression" dxfId="4" priority="21">
      <formula>IF(ROUND(($N$14-$N$7)/30,0)=10,1,0)</formula>
    </cfRule>
  </conditionalFormatting>
  <conditionalFormatting sqref="M23">
    <cfRule type="expression" dxfId="4" priority="22">
      <formula>IF(ROUND(($N$14-$N$7)/30,0)=10,1,0)</formula>
    </cfRule>
  </conditionalFormatting>
  <conditionalFormatting sqref="M12 N6:N7 N9:N11 N13:N15">
    <cfRule type="expression" dxfId="4" priority="23">
      <formula>IF(ROUND(($N$14-$N$7)/30,0)=3,1,0)</formula>
    </cfRule>
  </conditionalFormatting>
  <conditionalFormatting sqref="N18:N21">
    <cfRule type="expression" dxfId="4" priority="24">
      <formula>IF(ROUND(($N$14-$N$7)/30,0)=11,1,0)</formula>
    </cfRule>
  </conditionalFormatting>
  <conditionalFormatting sqref="N23">
    <cfRule type="expression" dxfId="4" priority="25">
      <formula>IF(ROUND(($N$14-$N$7)/30,0)=11,1,0)</formula>
    </cfRule>
  </conditionalFormatting>
  <conditionalFormatting sqref="O18:O21 O23">
    <cfRule type="expression" dxfId="4" priority="26">
      <formula>IF(ROUND(($N$14-$N$7)/30,0)=12,1,0)</formula>
    </cfRule>
  </conditionalFormatting>
  <printOptions/>
  <pageMargins bottom="0.75" footer="0.0" header="0.0" left="0.7" right="0.7" top="0.75"/>
  <pageSetup scale="4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64.0"/>
    <col customWidth="1" min="3" max="3" width="22.71"/>
    <col customWidth="1" min="4" max="4" width="11.43"/>
    <col customWidth="1" min="5" max="8" width="11.57"/>
    <col customWidth="1" min="9" max="9" width="13.43"/>
    <col customWidth="1" min="10" max="10" width="14.71"/>
    <col customWidth="1" min="11" max="11" width="14.57"/>
    <col customWidth="1" min="12" max="12" width="13.14"/>
    <col customWidth="1" min="13" max="13" width="13.0"/>
    <col customWidth="1" min="14" max="14" width="14.0"/>
    <col customWidth="1" min="15" max="15" width="14.29"/>
    <col customWidth="1" min="16" max="16" width="9.14"/>
    <col customWidth="1" min="17" max="17" width="10.29"/>
    <col customWidth="1" min="18" max="26" width="9.14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B4" s="1"/>
      <c r="C4" s="1"/>
      <c r="D4" s="2" t="s">
        <v>0</v>
      </c>
      <c r="F4" s="1"/>
      <c r="G4" s="1"/>
      <c r="H4" s="1"/>
      <c r="I4" s="1"/>
      <c r="J4" s="1"/>
      <c r="K4" s="1"/>
    </row>
    <row r="5">
      <c r="B5" s="3"/>
      <c r="C5" s="3"/>
      <c r="D5" s="1"/>
      <c r="E5" s="1"/>
      <c r="F5" s="1"/>
      <c r="G5" s="1"/>
      <c r="H5" s="1"/>
      <c r="I5" s="1"/>
      <c r="J5" s="1"/>
      <c r="K5" s="1"/>
    </row>
    <row r="6" ht="15.0" customHeight="1">
      <c r="B6" s="1"/>
      <c r="C6" s="1"/>
      <c r="D6" s="1"/>
      <c r="E6" s="1"/>
      <c r="F6" s="1"/>
      <c r="G6" s="1"/>
      <c r="H6" s="1"/>
      <c r="I6" s="1"/>
      <c r="J6" s="1"/>
      <c r="K6" s="4"/>
      <c r="L6" s="5"/>
      <c r="M6" s="5"/>
      <c r="N6" s="6"/>
      <c r="O6" s="7"/>
      <c r="P6" s="4"/>
    </row>
    <row r="7" ht="16.5" customHeight="1">
      <c r="B7" s="1"/>
      <c r="C7" s="1"/>
      <c r="D7" s="1"/>
      <c r="E7" s="1"/>
      <c r="F7" s="1"/>
      <c r="G7" s="1"/>
      <c r="H7" s="1"/>
      <c r="I7" s="1"/>
      <c r="J7" s="1"/>
      <c r="K7" s="8"/>
      <c r="L7" s="9"/>
      <c r="M7" s="9"/>
      <c r="N7" s="10"/>
      <c r="O7" s="7"/>
      <c r="P7" s="8"/>
    </row>
    <row r="8" ht="16.5" customHeight="1">
      <c r="B8" s="11" t="s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7"/>
      <c r="P8" s="8"/>
    </row>
    <row r="9" ht="16.5" customHeight="1">
      <c r="Q9" s="8"/>
    </row>
    <row r="10" ht="16.5" customHeight="1">
      <c r="B10" s="13" t="s">
        <v>2</v>
      </c>
      <c r="C10" s="14" t="s">
        <v>3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  <c r="Q10" s="8"/>
    </row>
    <row r="11" ht="16.5" customHeight="1">
      <c r="B11" s="17" t="s">
        <v>4</v>
      </c>
      <c r="C11" s="14" t="s">
        <v>5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Q11" s="8"/>
    </row>
    <row r="12" ht="16.5" customHeight="1">
      <c r="B12" s="20" t="s">
        <v>6</v>
      </c>
      <c r="C12" s="21" t="s">
        <v>7</v>
      </c>
      <c r="D12" s="22"/>
      <c r="E12" s="23" t="s">
        <v>8</v>
      </c>
      <c r="F12" s="24"/>
      <c r="G12" s="25" t="s">
        <v>9</v>
      </c>
      <c r="H12" s="26"/>
      <c r="I12" s="22"/>
      <c r="J12" s="23" t="s">
        <v>10</v>
      </c>
      <c r="K12" s="24"/>
      <c r="L12" s="27" t="s">
        <v>11</v>
      </c>
      <c r="M12" s="28"/>
      <c r="N12" s="29"/>
      <c r="O12" s="30"/>
      <c r="P12" s="8"/>
    </row>
    <row r="13" ht="16.5" customHeight="1"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8"/>
    </row>
    <row r="14" ht="16.5" customHeight="1">
      <c r="B14" s="1"/>
      <c r="C14" s="1"/>
      <c r="D14" s="1"/>
      <c r="E14" s="1"/>
      <c r="F14" s="1"/>
      <c r="G14" s="1"/>
      <c r="H14" s="1"/>
      <c r="I14" s="1"/>
      <c r="J14" s="1"/>
      <c r="K14" s="8"/>
      <c r="L14" s="9"/>
      <c r="M14" s="33"/>
      <c r="N14" s="10"/>
      <c r="O14" s="7"/>
      <c r="P14" s="8"/>
      <c r="Q14" s="34"/>
    </row>
    <row r="15" ht="16.5" customHeight="1">
      <c r="B15" s="1"/>
      <c r="C15" s="1"/>
      <c r="D15" s="1"/>
      <c r="E15" s="1"/>
      <c r="F15" s="1"/>
      <c r="G15" s="1"/>
      <c r="H15" s="1"/>
      <c r="I15" s="1"/>
      <c r="J15" s="1"/>
      <c r="K15" s="8"/>
      <c r="L15" s="9"/>
      <c r="M15" s="33"/>
      <c r="N15" s="10"/>
      <c r="O15" s="7"/>
      <c r="P15" s="8"/>
      <c r="Q15" s="34"/>
    </row>
    <row r="16" ht="16.5" customHeight="1">
      <c r="B16" s="35"/>
      <c r="C16" s="36"/>
      <c r="D16" s="37" t="s">
        <v>12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4"/>
      <c r="R16" s="34"/>
    </row>
    <row r="17" ht="15.0" customHeight="1">
      <c r="B17" s="40"/>
      <c r="C17" s="41"/>
      <c r="D17" s="42" t="s">
        <v>13</v>
      </c>
      <c r="E17" s="42" t="s">
        <v>14</v>
      </c>
      <c r="F17" s="42" t="s">
        <v>15</v>
      </c>
      <c r="G17" s="42" t="s">
        <v>16</v>
      </c>
      <c r="H17" s="42" t="s">
        <v>17</v>
      </c>
      <c r="I17" s="42" t="s">
        <v>18</v>
      </c>
      <c r="J17" s="42" t="s">
        <v>19</v>
      </c>
      <c r="K17" s="42" t="s">
        <v>20</v>
      </c>
      <c r="L17" s="42" t="s">
        <v>21</v>
      </c>
      <c r="M17" s="42" t="s">
        <v>22</v>
      </c>
      <c r="N17" s="42" t="s">
        <v>23</v>
      </c>
      <c r="O17" s="42" t="s">
        <v>24</v>
      </c>
    </row>
    <row r="18" ht="15.75" hidden="1" customHeight="1">
      <c r="B18" s="43"/>
      <c r="D18" s="44">
        <v>1.0</v>
      </c>
      <c r="E18" s="45">
        <v>2.0</v>
      </c>
      <c r="F18" s="45">
        <v>3.0</v>
      </c>
      <c r="G18" s="45">
        <v>4.0</v>
      </c>
      <c r="H18" s="45">
        <v>5.0</v>
      </c>
      <c r="I18" s="45">
        <v>6.0</v>
      </c>
      <c r="J18" s="45">
        <v>7.0</v>
      </c>
      <c r="K18" s="45">
        <v>8.0</v>
      </c>
      <c r="L18" s="45">
        <v>9.0</v>
      </c>
      <c r="M18" s="45">
        <v>10.0</v>
      </c>
      <c r="N18" s="45">
        <v>11.0</v>
      </c>
      <c r="O18" s="46">
        <v>12.0</v>
      </c>
    </row>
    <row r="19" ht="15.0" customHeight="1">
      <c r="B19" s="17" t="s">
        <v>25</v>
      </c>
      <c r="C19" s="47"/>
      <c r="D19" s="48">
        <v>12000.0</v>
      </c>
      <c r="E19" s="48">
        <v>12000.0</v>
      </c>
      <c r="F19" s="48">
        <v>18000.0</v>
      </c>
      <c r="G19" s="48">
        <v>18000.0</v>
      </c>
      <c r="H19" s="48">
        <v>33000.0</v>
      </c>
      <c r="I19" s="48">
        <v>33000.0</v>
      </c>
      <c r="J19" s="48">
        <v>38000.0</v>
      </c>
      <c r="K19" s="48">
        <v>40000.0</v>
      </c>
      <c r="L19" s="48">
        <v>27000.0</v>
      </c>
      <c r="M19" s="48">
        <v>27000.0</v>
      </c>
      <c r="N19" s="48">
        <v>21000.0</v>
      </c>
      <c r="O19" s="49">
        <v>21000.0</v>
      </c>
    </row>
    <row r="20" ht="15.0" customHeight="1">
      <c r="B20" s="17" t="s">
        <v>26</v>
      </c>
      <c r="C20" s="47" t="s">
        <v>27</v>
      </c>
      <c r="D20" s="50">
        <f>D19</f>
        <v>12000</v>
      </c>
      <c r="E20" s="50">
        <f>D19+E19</f>
        <v>24000</v>
      </c>
      <c r="F20" s="50">
        <f t="shared" ref="F20:O20" si="1">E20+F19</f>
        <v>42000</v>
      </c>
      <c r="G20" s="50">
        <f t="shared" si="1"/>
        <v>60000</v>
      </c>
      <c r="H20" s="50">
        <f t="shared" si="1"/>
        <v>93000</v>
      </c>
      <c r="I20" s="50">
        <f t="shared" si="1"/>
        <v>126000</v>
      </c>
      <c r="J20" s="50">
        <f t="shared" si="1"/>
        <v>164000</v>
      </c>
      <c r="K20" s="50">
        <f t="shared" si="1"/>
        <v>204000</v>
      </c>
      <c r="L20" s="50">
        <f t="shared" si="1"/>
        <v>231000</v>
      </c>
      <c r="M20" s="50">
        <f t="shared" si="1"/>
        <v>258000</v>
      </c>
      <c r="N20" s="50">
        <f t="shared" si="1"/>
        <v>279000</v>
      </c>
      <c r="O20" s="51">
        <f t="shared" si="1"/>
        <v>300000</v>
      </c>
    </row>
    <row r="21" ht="15.0" customHeight="1">
      <c r="B21" s="17" t="s">
        <v>28</v>
      </c>
      <c r="C21" s="47"/>
      <c r="D21" s="52">
        <v>12000.0</v>
      </c>
      <c r="E21" s="52">
        <v>12000.0</v>
      </c>
      <c r="F21" s="52">
        <v>18000.0</v>
      </c>
      <c r="G21" s="52">
        <v>18000.0</v>
      </c>
      <c r="H21" s="74">
        <v>33000.0</v>
      </c>
      <c r="I21" s="74">
        <v>33000.0</v>
      </c>
      <c r="J21" s="74">
        <v>38000.0</v>
      </c>
      <c r="K21" s="74">
        <v>40000.0</v>
      </c>
      <c r="L21" s="52"/>
      <c r="M21" s="52"/>
      <c r="N21" s="52"/>
      <c r="O21" s="53"/>
    </row>
    <row r="22" ht="15.75" customHeight="1">
      <c r="B22" s="17" t="s">
        <v>29</v>
      </c>
      <c r="C22" s="47" t="s">
        <v>30</v>
      </c>
      <c r="D22" s="50">
        <f>D21</f>
        <v>12000</v>
      </c>
      <c r="E22" s="50">
        <f>D21+E21</f>
        <v>24000</v>
      </c>
      <c r="F22" s="50">
        <f t="shared" ref="F22:O22" si="2">E22+F21</f>
        <v>42000</v>
      </c>
      <c r="G22" s="50">
        <f t="shared" si="2"/>
        <v>60000</v>
      </c>
      <c r="H22" s="50">
        <f t="shared" si="2"/>
        <v>93000</v>
      </c>
      <c r="I22" s="50">
        <f t="shared" si="2"/>
        <v>126000</v>
      </c>
      <c r="J22" s="50">
        <f t="shared" si="2"/>
        <v>164000</v>
      </c>
      <c r="K22" s="50">
        <f t="shared" si="2"/>
        <v>204000</v>
      </c>
      <c r="L22" s="50">
        <f t="shared" si="2"/>
        <v>204000</v>
      </c>
      <c r="M22" s="50">
        <f t="shared" si="2"/>
        <v>204000</v>
      </c>
      <c r="N22" s="50">
        <f t="shared" si="2"/>
        <v>204000</v>
      </c>
      <c r="O22" s="50">
        <f t="shared" si="2"/>
        <v>204000</v>
      </c>
    </row>
    <row r="23" ht="15.75" customHeight="1">
      <c r="B23" s="17" t="s">
        <v>31</v>
      </c>
      <c r="C23" s="47" t="s">
        <v>32</v>
      </c>
      <c r="D23" s="54">
        <v>0.0833</v>
      </c>
      <c r="E23" s="54">
        <v>0.1666</v>
      </c>
      <c r="F23" s="55">
        <v>0.2499</v>
      </c>
      <c r="G23" s="55">
        <v>0.3332</v>
      </c>
      <c r="H23" s="55">
        <f>G23+D23</f>
        <v>0.4165</v>
      </c>
      <c r="I23" s="55">
        <f>H23+D23</f>
        <v>0.4998</v>
      </c>
      <c r="J23" s="55">
        <f>I23+D23</f>
        <v>0.5831</v>
      </c>
      <c r="K23" s="55">
        <f>J23+D23</f>
        <v>0.6664</v>
      </c>
      <c r="L23" s="55"/>
      <c r="M23" s="55"/>
      <c r="N23" s="55"/>
      <c r="O23" s="75"/>
    </row>
    <row r="24" ht="15.75" customHeight="1">
      <c r="B24" s="17" t="s">
        <v>33</v>
      </c>
      <c r="C24" s="47"/>
      <c r="D24" s="50">
        <f t="shared" ref="D24:O24" si="3">D23*$C$27</f>
        <v>24990</v>
      </c>
      <c r="E24" s="50">
        <f t="shared" si="3"/>
        <v>49980</v>
      </c>
      <c r="F24" s="50">
        <f t="shared" si="3"/>
        <v>74970</v>
      </c>
      <c r="G24" s="50">
        <f t="shared" si="3"/>
        <v>99960</v>
      </c>
      <c r="H24" s="50">
        <f t="shared" si="3"/>
        <v>124950</v>
      </c>
      <c r="I24" s="50">
        <f t="shared" si="3"/>
        <v>149940</v>
      </c>
      <c r="J24" s="50">
        <f t="shared" si="3"/>
        <v>174930</v>
      </c>
      <c r="K24" s="50">
        <f t="shared" si="3"/>
        <v>199920</v>
      </c>
      <c r="L24" s="50">
        <f t="shared" si="3"/>
        <v>0</v>
      </c>
      <c r="M24" s="50">
        <f t="shared" si="3"/>
        <v>0</v>
      </c>
      <c r="N24" s="50">
        <f t="shared" si="3"/>
        <v>0</v>
      </c>
      <c r="O24" s="50">
        <f t="shared" si="3"/>
        <v>0</v>
      </c>
    </row>
    <row r="25" ht="15.75" customHeight="1">
      <c r="B25" s="20" t="s">
        <v>34</v>
      </c>
      <c r="C25" s="58" t="s">
        <v>35</v>
      </c>
      <c r="D25" s="50">
        <f>D24</f>
        <v>24990</v>
      </c>
      <c r="E25" s="50">
        <f>D24+E24</f>
        <v>74970</v>
      </c>
      <c r="F25" s="50">
        <f t="shared" ref="F25:O25" si="4">E25+F24</f>
        <v>149940</v>
      </c>
      <c r="G25" s="50">
        <f t="shared" si="4"/>
        <v>249900</v>
      </c>
      <c r="H25" s="50">
        <f t="shared" si="4"/>
        <v>374850</v>
      </c>
      <c r="I25" s="50">
        <f t="shared" si="4"/>
        <v>524790</v>
      </c>
      <c r="J25" s="50">
        <f t="shared" si="4"/>
        <v>699720</v>
      </c>
      <c r="K25" s="50">
        <f t="shared" si="4"/>
        <v>899640</v>
      </c>
      <c r="L25" s="50">
        <f t="shared" si="4"/>
        <v>899640</v>
      </c>
      <c r="M25" s="50">
        <f t="shared" si="4"/>
        <v>899640</v>
      </c>
      <c r="N25" s="50">
        <f t="shared" si="4"/>
        <v>899640</v>
      </c>
      <c r="O25" s="50">
        <f t="shared" si="4"/>
        <v>899640</v>
      </c>
    </row>
    <row r="26" ht="15.75" customHeight="1">
      <c r="C26" s="59" t="s">
        <v>36</v>
      </c>
    </row>
    <row r="27" ht="15.75" customHeight="1">
      <c r="B27" s="60" t="s">
        <v>65</v>
      </c>
      <c r="C27" s="61">
        <f>O20</f>
        <v>300000</v>
      </c>
      <c r="D27" s="59"/>
    </row>
    <row r="28" ht="15.75" customHeight="1">
      <c r="C28" s="62"/>
      <c r="D28" s="59"/>
    </row>
    <row r="29" ht="15.75" customHeight="1">
      <c r="B29" s="63" t="s">
        <v>38</v>
      </c>
      <c r="C29" s="64" t="s">
        <v>39</v>
      </c>
    </row>
    <row r="30" ht="18.75" customHeight="1">
      <c r="B30" s="65" t="s">
        <v>66</v>
      </c>
      <c r="C30" s="66">
        <f>K25-K22</f>
        <v>695640</v>
      </c>
      <c r="D30" s="67"/>
      <c r="E30" s="67"/>
    </row>
    <row r="31" ht="30.75" customHeight="1">
      <c r="B31" s="65" t="s">
        <v>67</v>
      </c>
      <c r="C31" s="68">
        <f>K25-K20</f>
        <v>695640</v>
      </c>
    </row>
    <row r="32" ht="33.0" customHeight="1">
      <c r="B32" s="65" t="s">
        <v>68</v>
      </c>
      <c r="C32" s="69">
        <f>K25/K22</f>
        <v>4.41</v>
      </c>
    </row>
    <row r="33" ht="36.0" customHeight="1">
      <c r="B33" s="65" t="s">
        <v>69</v>
      </c>
      <c r="C33" s="69">
        <f>K25/K20</f>
        <v>4.41</v>
      </c>
    </row>
    <row r="34" ht="35.25" customHeight="1">
      <c r="B34" s="70" t="s">
        <v>70</v>
      </c>
      <c r="C34" s="71">
        <f>C27/C32</f>
        <v>68027.21088</v>
      </c>
    </row>
    <row r="35" ht="15.75" customHeight="1"/>
    <row r="36" ht="15.75" customHeight="1"/>
    <row r="37" ht="15.75" customHeight="1">
      <c r="B37" s="72" t="s">
        <v>45</v>
      </c>
    </row>
    <row r="38" ht="15.75" customHeight="1">
      <c r="B38" s="73" t="s">
        <v>46</v>
      </c>
    </row>
    <row r="39" ht="15.75" customHeight="1">
      <c r="B39" s="72"/>
    </row>
    <row r="40" ht="15.75" customHeight="1">
      <c r="B40" s="72" t="s">
        <v>47</v>
      </c>
    </row>
    <row r="41" ht="15.75" customHeight="1">
      <c r="B41" s="73" t="s">
        <v>48</v>
      </c>
    </row>
    <row r="42" ht="15.75" customHeight="1">
      <c r="B42" s="72"/>
    </row>
    <row r="43" ht="15.75" customHeight="1">
      <c r="B43" s="72" t="s">
        <v>49</v>
      </c>
    </row>
    <row r="44" ht="15.75" customHeight="1">
      <c r="B44" s="73" t="s">
        <v>50</v>
      </c>
    </row>
    <row r="45" ht="15.75" customHeight="1">
      <c r="B45" s="72"/>
    </row>
    <row r="46" ht="15.75" customHeight="1">
      <c r="B46" s="72" t="s">
        <v>51</v>
      </c>
    </row>
    <row r="47" ht="15.75" customHeight="1">
      <c r="B47" s="73" t="s">
        <v>52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N6:O6"/>
    <mergeCell ref="N7:O7"/>
    <mergeCell ref="B8:O8"/>
    <mergeCell ref="C12:D12"/>
    <mergeCell ref="G12:I12"/>
    <mergeCell ref="N14:O14"/>
    <mergeCell ref="N15:O15"/>
    <mergeCell ref="D16:O16"/>
  </mergeCells>
  <conditionalFormatting sqref="C27">
    <cfRule type="expression" dxfId="4" priority="1">
      <formula>IF(ROUND(($N$14-$N$7)/30,0)=12,1,0)</formula>
    </cfRule>
  </conditionalFormatting>
  <conditionalFormatting sqref="C30:C31">
    <cfRule type="expression" dxfId="5" priority="2">
      <formula>IF(ROUND(($N$14-$N$7)/30,0)=1,1,0)</formula>
    </cfRule>
  </conditionalFormatting>
  <conditionalFormatting sqref="D18:D25 E23 E24:O24">
    <cfRule type="expression" dxfId="5" priority="3">
      <formula>IF(ROUND(($N$14-$N$7)/30,0)=1,1,0)</formula>
    </cfRule>
  </conditionalFormatting>
  <conditionalFormatting sqref="E18:E22">
    <cfRule type="expression" dxfId="4" priority="4">
      <formula>IF(ROUND(($N$14-$N$7)/30,0)=2,1,0)</formula>
    </cfRule>
  </conditionalFormatting>
  <conditionalFormatting sqref="E25">
    <cfRule type="expression" dxfId="4" priority="5">
      <formula>IF(ROUND(($N$14-$N$7)/30,0)=2,1,0)</formula>
    </cfRule>
  </conditionalFormatting>
  <conditionalFormatting sqref="F18:F23">
    <cfRule type="expression" dxfId="4" priority="6">
      <formula>IF(ROUND(($N$14-$N$7)/30,0)=3,1,0)</formula>
    </cfRule>
  </conditionalFormatting>
  <conditionalFormatting sqref="F25">
    <cfRule type="expression" dxfId="4" priority="7">
      <formula>IF(ROUND(($N$14-$N$7)/30,0)=3,1,0)</formula>
    </cfRule>
  </conditionalFormatting>
  <conditionalFormatting sqref="G18:G23">
    <cfRule type="expression" dxfId="4" priority="8">
      <formula>IF(ROUND(($N$14-$N$7)/30,0)=4,1,0)</formula>
    </cfRule>
  </conditionalFormatting>
  <conditionalFormatting sqref="G25">
    <cfRule type="expression" dxfId="4" priority="9">
      <formula>IF(ROUND(($N$14-$N$7)/30,0)=4,1,0)</formula>
    </cfRule>
  </conditionalFormatting>
  <conditionalFormatting sqref="H18:H23">
    <cfRule type="expression" dxfId="4" priority="10">
      <formula>IF(ROUND(($N$14-$N$7)/30,0)=5,1,0)</formula>
    </cfRule>
  </conditionalFormatting>
  <conditionalFormatting sqref="H25">
    <cfRule type="expression" dxfId="4" priority="11">
      <formula>IF(ROUND(($N$14-$N$7)/30,0)=5,1,0)</formula>
    </cfRule>
  </conditionalFormatting>
  <conditionalFormatting sqref="I18:I23">
    <cfRule type="expression" dxfId="4" priority="12">
      <formula>IF(ROUND(($N$14-$N$7)/30,0)=6,1,0)</formula>
    </cfRule>
  </conditionalFormatting>
  <conditionalFormatting sqref="I25">
    <cfRule type="expression" dxfId="4" priority="13">
      <formula>IF(ROUND(($N$14-$N$7)/30,0)=6,1,0)</formula>
    </cfRule>
  </conditionalFormatting>
  <conditionalFormatting sqref="J18:J23">
    <cfRule type="expression" dxfId="4" priority="14">
      <formula>IF(ROUND(($N$14-$N$7)/30,0)=7,1,0)</formula>
    </cfRule>
  </conditionalFormatting>
  <conditionalFormatting sqref="K18:K21">
    <cfRule type="expression" dxfId="4" priority="15">
      <formula>IF(ROUND(($N$14-$N$7)/30,0)=8,1,0)</formula>
    </cfRule>
  </conditionalFormatting>
  <conditionalFormatting sqref="K23">
    <cfRule type="expression" dxfId="4" priority="16">
      <formula>IF(ROUND(($N$14-$N$7)/30,0)=8,1,0)</formula>
    </cfRule>
  </conditionalFormatting>
  <conditionalFormatting sqref="K22:O22">
    <cfRule type="expression" dxfId="4" priority="17">
      <formula>IF(ROUND(($N$14-$N$7)/30,0)=7,1,0)</formula>
    </cfRule>
  </conditionalFormatting>
  <conditionalFormatting sqref="K25:O25">
    <cfRule type="expression" dxfId="4" priority="18">
      <formula>IF(ROUND(($N$14-$N$7)/30,0)=7,1,0)</formula>
    </cfRule>
  </conditionalFormatting>
  <conditionalFormatting sqref="L18:L21">
    <cfRule type="expression" dxfId="4" priority="19">
      <formula>IF(ROUND(($N$14-$N$7)/30,0)=9,1,0)</formula>
    </cfRule>
  </conditionalFormatting>
  <conditionalFormatting sqref="L23">
    <cfRule type="expression" dxfId="4" priority="20">
      <formula>IF(ROUND(($N$14-$N$7)/30,0)=9,1,0)</formula>
    </cfRule>
  </conditionalFormatting>
  <conditionalFormatting sqref="M18:M21">
    <cfRule type="expression" dxfId="4" priority="21">
      <formula>IF(ROUND(($N$14-$N$7)/30,0)=10,1,0)</formula>
    </cfRule>
  </conditionalFormatting>
  <conditionalFormatting sqref="M23">
    <cfRule type="expression" dxfId="4" priority="22">
      <formula>IF(ROUND(($N$14-$N$7)/30,0)=10,1,0)</formula>
    </cfRule>
  </conditionalFormatting>
  <conditionalFormatting sqref="M12 N6:N7 N9:N11 N13:N15">
    <cfRule type="expression" dxfId="4" priority="23">
      <formula>IF(ROUND(($N$14-$N$7)/30,0)=3,1,0)</formula>
    </cfRule>
  </conditionalFormatting>
  <conditionalFormatting sqref="N18:N21">
    <cfRule type="expression" dxfId="4" priority="24">
      <formula>IF(ROUND(($N$14-$N$7)/30,0)=11,1,0)</formula>
    </cfRule>
  </conditionalFormatting>
  <conditionalFormatting sqref="N23">
    <cfRule type="expression" dxfId="4" priority="25">
      <formula>IF(ROUND(($N$14-$N$7)/30,0)=11,1,0)</formula>
    </cfRule>
  </conditionalFormatting>
  <conditionalFormatting sqref="O18:O21 O23">
    <cfRule type="expression" dxfId="4" priority="26">
      <formula>IF(ROUND(($N$14-$N$7)/30,0)=12,1,0)</formula>
    </cfRule>
  </conditionalFormatting>
  <printOptions/>
  <pageMargins bottom="0.75" footer="0.0" header="0.0" left="0.7" right="0.7" top="0.75"/>
  <pageSetup scale="4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60.71"/>
    <col customWidth="1" min="3" max="3" width="22.71"/>
    <col customWidth="1" min="4" max="4" width="13.0"/>
    <col customWidth="1" min="5" max="5" width="11.86"/>
    <col customWidth="1" min="6" max="6" width="12.57"/>
    <col customWidth="1" min="7" max="7" width="13.14"/>
    <col customWidth="1" min="8" max="8" width="12.43"/>
    <col customWidth="1" min="9" max="9" width="14.14"/>
    <col customWidth="1" min="10" max="10" width="12.0"/>
    <col customWidth="1" min="11" max="11" width="14.0"/>
    <col customWidth="1" min="12" max="13" width="13.0"/>
    <col customWidth="1" min="14" max="14" width="12.57"/>
    <col customWidth="1" min="15" max="15" width="14.14"/>
    <col customWidth="1" min="16" max="26" width="9.14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B4" s="1"/>
      <c r="C4" s="1"/>
      <c r="D4" s="2" t="s">
        <v>0</v>
      </c>
      <c r="F4" s="1"/>
      <c r="G4" s="1"/>
      <c r="H4" s="1"/>
      <c r="I4" s="1"/>
      <c r="J4" s="1"/>
      <c r="K4" s="1"/>
    </row>
    <row r="5">
      <c r="B5" s="3"/>
      <c r="C5" s="3"/>
      <c r="D5" s="1"/>
      <c r="E5" s="1"/>
      <c r="F5" s="1"/>
      <c r="G5" s="1"/>
      <c r="H5" s="1"/>
      <c r="I5" s="1"/>
      <c r="J5" s="1"/>
      <c r="K5" s="1"/>
    </row>
    <row r="6">
      <c r="B6" s="1"/>
      <c r="C6" s="1"/>
      <c r="D6" s="1"/>
      <c r="E6" s="1"/>
      <c r="F6" s="1"/>
      <c r="G6" s="1"/>
      <c r="H6" s="1"/>
      <c r="I6" s="1"/>
      <c r="J6" s="1"/>
      <c r="K6" s="4"/>
      <c r="L6" s="5"/>
      <c r="M6" s="5"/>
      <c r="N6" s="6"/>
      <c r="O6" s="7"/>
      <c r="P6" s="4"/>
    </row>
    <row r="7">
      <c r="B7" s="1"/>
      <c r="C7" s="1"/>
      <c r="D7" s="1"/>
      <c r="E7" s="1"/>
      <c r="F7" s="1"/>
      <c r="G7" s="1"/>
      <c r="H7" s="1"/>
      <c r="I7" s="1"/>
      <c r="J7" s="1"/>
      <c r="K7" s="8"/>
      <c r="L7" s="9"/>
      <c r="M7" s="9"/>
      <c r="N7" s="10"/>
      <c r="O7" s="7"/>
      <c r="P7" s="8"/>
    </row>
    <row r="8">
      <c r="B8" s="11" t="s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7"/>
      <c r="P8" s="8"/>
    </row>
    <row r="10">
      <c r="B10" s="13" t="s">
        <v>2</v>
      </c>
      <c r="C10" s="76" t="s">
        <v>71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</row>
    <row r="11">
      <c r="B11" s="17" t="s">
        <v>4</v>
      </c>
      <c r="C11" s="14" t="s">
        <v>72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</row>
    <row r="12">
      <c r="B12" s="20" t="s">
        <v>6</v>
      </c>
      <c r="C12" s="77">
        <v>40695.0</v>
      </c>
      <c r="D12" s="78"/>
      <c r="E12" s="23" t="s">
        <v>8</v>
      </c>
      <c r="F12" s="24"/>
      <c r="G12" s="77">
        <v>41455.0</v>
      </c>
      <c r="H12" s="79"/>
      <c r="I12" s="78"/>
      <c r="J12" s="23" t="s">
        <v>10</v>
      </c>
      <c r="K12" s="24"/>
      <c r="L12" s="77">
        <v>40908.0</v>
      </c>
      <c r="M12" s="79"/>
      <c r="N12" s="79"/>
      <c r="O12" s="80"/>
      <c r="P12" s="8"/>
    </row>
    <row r="13"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8"/>
    </row>
    <row r="14">
      <c r="B14" s="1"/>
      <c r="C14" s="1"/>
      <c r="D14" s="1"/>
      <c r="E14" s="1"/>
      <c r="F14" s="1"/>
      <c r="G14" s="1"/>
      <c r="H14" s="1"/>
      <c r="I14" s="1"/>
      <c r="J14" s="1"/>
      <c r="K14" s="8"/>
      <c r="L14" s="9"/>
      <c r="M14" s="33"/>
      <c r="N14" s="10"/>
      <c r="O14" s="7"/>
      <c r="P14" s="8"/>
    </row>
    <row r="15">
      <c r="B15" s="1"/>
      <c r="C15" s="1"/>
      <c r="D15" s="1"/>
      <c r="E15" s="1"/>
      <c r="F15" s="1"/>
      <c r="G15" s="1"/>
      <c r="H15" s="1"/>
      <c r="I15" s="1"/>
      <c r="J15" s="1"/>
      <c r="K15" s="8"/>
      <c r="L15" s="9"/>
      <c r="M15" s="33"/>
      <c r="N15" s="10"/>
      <c r="O15" s="7"/>
      <c r="P15" s="8"/>
    </row>
    <row r="16">
      <c r="B16" s="35"/>
      <c r="C16" s="36"/>
      <c r="D16" s="37" t="s">
        <v>12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4"/>
    </row>
    <row r="17">
      <c r="B17" s="40"/>
      <c r="C17" s="41"/>
      <c r="D17" s="42" t="s">
        <v>73</v>
      </c>
      <c r="E17" s="42" t="s">
        <v>74</v>
      </c>
      <c r="F17" s="42" t="s">
        <v>75</v>
      </c>
      <c r="G17" s="42" t="s">
        <v>76</v>
      </c>
      <c r="H17" s="42" t="s">
        <v>77</v>
      </c>
      <c r="I17" s="42" t="s">
        <v>78</v>
      </c>
      <c r="J17" s="42" t="s">
        <v>79</v>
      </c>
      <c r="K17" s="42" t="s">
        <v>80</v>
      </c>
      <c r="L17" s="42" t="s">
        <v>81</v>
      </c>
      <c r="M17" s="42" t="s">
        <v>82</v>
      </c>
      <c r="N17" s="42" t="s">
        <v>83</v>
      </c>
      <c r="O17" s="81" t="s">
        <v>84</v>
      </c>
    </row>
    <row r="18">
      <c r="B18" s="17" t="s">
        <v>25</v>
      </c>
      <c r="C18" s="47"/>
      <c r="D18" s="50">
        <v>20000.0</v>
      </c>
      <c r="E18" s="50">
        <v>40000.0</v>
      </c>
      <c r="F18" s="50">
        <v>60000.0</v>
      </c>
      <c r="G18" s="50">
        <v>80000.0</v>
      </c>
      <c r="H18" s="50">
        <v>120000.0</v>
      </c>
      <c r="I18" s="50">
        <v>140000.0</v>
      </c>
      <c r="J18" s="50">
        <v>160000.0</v>
      </c>
      <c r="K18" s="50">
        <v>180000.0</v>
      </c>
      <c r="L18" s="50">
        <v>180000.0</v>
      </c>
      <c r="M18" s="50">
        <v>120000.0</v>
      </c>
      <c r="N18" s="50">
        <v>80000.0</v>
      </c>
      <c r="O18" s="51">
        <v>40000.0</v>
      </c>
    </row>
    <row r="19">
      <c r="B19" s="17" t="s">
        <v>26</v>
      </c>
      <c r="C19" s="47" t="s">
        <v>27</v>
      </c>
      <c r="D19" s="50">
        <f>D18</f>
        <v>20000</v>
      </c>
      <c r="E19" s="50">
        <f>D18+E18</f>
        <v>60000</v>
      </c>
      <c r="F19" s="50">
        <f t="shared" ref="F19:O19" si="1">E19+F18</f>
        <v>120000</v>
      </c>
      <c r="G19" s="50">
        <f t="shared" si="1"/>
        <v>200000</v>
      </c>
      <c r="H19" s="50">
        <f t="shared" si="1"/>
        <v>320000</v>
      </c>
      <c r="I19" s="50">
        <f t="shared" si="1"/>
        <v>460000</v>
      </c>
      <c r="J19" s="50">
        <f t="shared" si="1"/>
        <v>620000</v>
      </c>
      <c r="K19" s="50">
        <f t="shared" si="1"/>
        <v>800000</v>
      </c>
      <c r="L19" s="50">
        <f t="shared" si="1"/>
        <v>980000</v>
      </c>
      <c r="M19" s="50">
        <f t="shared" si="1"/>
        <v>1100000</v>
      </c>
      <c r="N19" s="50">
        <f t="shared" si="1"/>
        <v>1180000</v>
      </c>
      <c r="O19" s="51">
        <f t="shared" si="1"/>
        <v>1220000</v>
      </c>
    </row>
    <row r="20">
      <c r="B20" s="17" t="s">
        <v>28</v>
      </c>
      <c r="C20" s="47"/>
      <c r="D20" s="50">
        <v>20000.0</v>
      </c>
      <c r="E20" s="50">
        <v>20000.0</v>
      </c>
      <c r="F20" s="50">
        <v>40000.0</v>
      </c>
      <c r="G20" s="50">
        <v>60000.0</v>
      </c>
      <c r="H20" s="50">
        <v>80000.0</v>
      </c>
      <c r="I20" s="50">
        <v>100000.0</v>
      </c>
      <c r="J20" s="50">
        <v>150000.0</v>
      </c>
      <c r="K20" s="50"/>
      <c r="L20" s="50"/>
      <c r="M20" s="50"/>
      <c r="N20" s="50"/>
      <c r="O20" s="51"/>
    </row>
    <row r="21" ht="15.75" customHeight="1">
      <c r="B21" s="17" t="s">
        <v>29</v>
      </c>
      <c r="C21" s="47" t="s">
        <v>30</v>
      </c>
      <c r="D21" s="50">
        <f>D20</f>
        <v>20000</v>
      </c>
      <c r="E21" s="50">
        <f>D20+E20</f>
        <v>40000</v>
      </c>
      <c r="F21" s="50">
        <f t="shared" ref="F21:J21" si="2">E21+F20</f>
        <v>80000</v>
      </c>
      <c r="G21" s="50">
        <f t="shared" si="2"/>
        <v>140000</v>
      </c>
      <c r="H21" s="50">
        <f t="shared" si="2"/>
        <v>220000</v>
      </c>
      <c r="I21" s="50">
        <f t="shared" si="2"/>
        <v>320000</v>
      </c>
      <c r="J21" s="50">
        <f t="shared" si="2"/>
        <v>470000</v>
      </c>
      <c r="K21" s="50"/>
      <c r="L21" s="50"/>
      <c r="M21" s="50"/>
      <c r="N21" s="50"/>
      <c r="O21" s="51"/>
    </row>
    <row r="22" ht="15.75" customHeight="1">
      <c r="B22" s="17" t="s">
        <v>31</v>
      </c>
      <c r="C22" s="47" t="s">
        <v>32</v>
      </c>
      <c r="D22" s="82">
        <v>0.015</v>
      </c>
      <c r="E22" s="83">
        <v>0.03</v>
      </c>
      <c r="F22" s="83">
        <v>0.04</v>
      </c>
      <c r="G22" s="83">
        <v>0.06</v>
      </c>
      <c r="H22" s="83">
        <v>0.085</v>
      </c>
      <c r="I22" s="83">
        <v>0.1</v>
      </c>
      <c r="J22" s="83">
        <v>0.12</v>
      </c>
      <c r="K22" s="83"/>
      <c r="L22" s="83"/>
      <c r="M22" s="83"/>
      <c r="N22" s="83"/>
      <c r="O22" s="84"/>
    </row>
    <row r="23" ht="15.75" customHeight="1">
      <c r="B23" s="17" t="s">
        <v>33</v>
      </c>
      <c r="C23" s="47" t="s">
        <v>85</v>
      </c>
      <c r="D23" s="50">
        <f t="shared" ref="D23:J23" si="3">D22*$C$26</f>
        <v>18300</v>
      </c>
      <c r="E23" s="50">
        <f t="shared" si="3"/>
        <v>36600</v>
      </c>
      <c r="F23" s="50">
        <f t="shared" si="3"/>
        <v>48800</v>
      </c>
      <c r="G23" s="50">
        <f t="shared" si="3"/>
        <v>73200</v>
      </c>
      <c r="H23" s="50">
        <f t="shared" si="3"/>
        <v>103700</v>
      </c>
      <c r="I23" s="50">
        <f t="shared" si="3"/>
        <v>122000</v>
      </c>
      <c r="J23" s="50">
        <f t="shared" si="3"/>
        <v>146400</v>
      </c>
      <c r="K23" s="50"/>
      <c r="L23" s="50"/>
      <c r="M23" s="50"/>
      <c r="N23" s="50"/>
      <c r="O23" s="51"/>
    </row>
    <row r="24" ht="15.75" customHeight="1">
      <c r="B24" s="20" t="s">
        <v>34</v>
      </c>
      <c r="C24" s="58" t="s">
        <v>35</v>
      </c>
      <c r="D24" s="50">
        <f>D23</f>
        <v>18300</v>
      </c>
      <c r="E24" s="50">
        <f>D23+E23</f>
        <v>54900</v>
      </c>
      <c r="F24" s="50">
        <f t="shared" ref="F24:J24" si="4">E24+F23</f>
        <v>103700</v>
      </c>
      <c r="G24" s="50">
        <f t="shared" si="4"/>
        <v>176900</v>
      </c>
      <c r="H24" s="50">
        <f t="shared" si="4"/>
        <v>280600</v>
      </c>
      <c r="I24" s="50">
        <f t="shared" si="4"/>
        <v>402600</v>
      </c>
      <c r="J24" s="50">
        <f t="shared" si="4"/>
        <v>549000</v>
      </c>
      <c r="K24" s="50"/>
      <c r="L24" s="50"/>
      <c r="M24" s="50"/>
      <c r="N24" s="50"/>
      <c r="O24" s="51"/>
    </row>
    <row r="25" ht="15.75" customHeight="1">
      <c r="D25" s="59" t="s">
        <v>36</v>
      </c>
    </row>
    <row r="26" ht="15.75" customHeight="1">
      <c r="B26" s="60" t="s">
        <v>86</v>
      </c>
      <c r="C26" s="61">
        <f>O19</f>
        <v>1220000</v>
      </c>
      <c r="D26" s="59"/>
    </row>
    <row r="27" ht="15.75" customHeight="1">
      <c r="C27" s="62"/>
      <c r="D27" s="59"/>
    </row>
    <row r="28" ht="15.75" customHeight="1">
      <c r="B28" s="63" t="s">
        <v>38</v>
      </c>
      <c r="C28" s="64" t="s">
        <v>39</v>
      </c>
    </row>
    <row r="29" ht="15.75" customHeight="1">
      <c r="B29" s="65" t="s">
        <v>87</v>
      </c>
      <c r="C29" s="66">
        <f>J24-J21</f>
        <v>79000</v>
      </c>
      <c r="D29" s="67"/>
      <c r="E29" s="67"/>
    </row>
    <row r="30" ht="15.75" customHeight="1">
      <c r="B30" s="65" t="s">
        <v>88</v>
      </c>
      <c r="C30" s="68">
        <f>J24-J19</f>
        <v>-71000</v>
      </c>
    </row>
    <row r="31" ht="15.75" customHeight="1">
      <c r="B31" s="65" t="s">
        <v>89</v>
      </c>
      <c r="C31" s="69">
        <f>(J24/J21)</f>
        <v>1.168085106</v>
      </c>
    </row>
    <row r="32" ht="15.75" customHeight="1">
      <c r="B32" s="65" t="s">
        <v>90</v>
      </c>
      <c r="C32" s="69">
        <f>J24/J19</f>
        <v>0.885483871</v>
      </c>
    </row>
    <row r="33" ht="15.75" customHeight="1">
      <c r="B33" s="70" t="s">
        <v>91</v>
      </c>
      <c r="C33" s="71">
        <f>C26/C31</f>
        <v>1044444.444</v>
      </c>
    </row>
    <row r="34" ht="15.75" customHeight="1"/>
    <row r="35" ht="15.75" customHeight="1">
      <c r="B35" s="85"/>
    </row>
    <row r="36" ht="15.75" customHeight="1">
      <c r="B36" s="86" t="s">
        <v>45</v>
      </c>
    </row>
    <row r="37" ht="15.75" customHeight="1">
      <c r="B37" s="72" t="s">
        <v>46</v>
      </c>
    </row>
    <row r="38" ht="15.75" customHeight="1">
      <c r="B38" s="87"/>
    </row>
    <row r="39" ht="15.75" customHeight="1">
      <c r="B39" s="72" t="s">
        <v>47</v>
      </c>
    </row>
    <row r="40" ht="15.75" customHeight="1">
      <c r="B40" s="72" t="s">
        <v>48</v>
      </c>
    </row>
    <row r="41" ht="15.75" customHeight="1">
      <c r="B41" s="72"/>
    </row>
    <row r="42" ht="15.75" customHeight="1">
      <c r="B42" s="72" t="s">
        <v>49</v>
      </c>
    </row>
    <row r="43" ht="15.75" customHeight="1">
      <c r="B43" s="72" t="s">
        <v>50</v>
      </c>
    </row>
    <row r="44" ht="15.75" customHeight="1">
      <c r="B44" s="72"/>
    </row>
    <row r="45" ht="15.75" customHeight="1">
      <c r="B45" s="72" t="s">
        <v>51</v>
      </c>
    </row>
    <row r="46" ht="15.75" customHeight="1">
      <c r="B46" s="72" t="s">
        <v>52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N15:O15"/>
    <mergeCell ref="D16:O16"/>
    <mergeCell ref="N6:O6"/>
    <mergeCell ref="N7:O7"/>
    <mergeCell ref="B8:O8"/>
    <mergeCell ref="C12:D12"/>
    <mergeCell ref="G12:I12"/>
    <mergeCell ref="L12:O12"/>
    <mergeCell ref="N14:O14"/>
  </mergeCells>
  <printOptions/>
  <pageMargins bottom="0.75" footer="0.0" header="0.0" left="0.7" right="0.7" top="0.75"/>
  <pageSetup scale="48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2011-05-27T04:00:15Z</dcterms:created>
  <dc:creator>Allan Cupa</dc:creator>
</cp:coreProperties>
</file>