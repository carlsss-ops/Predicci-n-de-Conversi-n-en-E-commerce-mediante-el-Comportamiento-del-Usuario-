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de Costos" sheetId="1" r:id="rId4"/>
    <sheet state="visible" name="Plantilla Curva S" sheetId="2" r:id="rId5"/>
    <sheet state="visible" name="Ejemplo" sheetId="3" r:id="rId6"/>
    <sheet state="visible" name="Hoja1" sheetId="4" r:id="rId7"/>
    <sheet state="visible" name="SPRINT 1" sheetId="5" r:id="rId8"/>
    <sheet state="visible" name="SPRINT 2" sheetId="6" r:id="rId9"/>
    <sheet state="visible" name="SPRINT 3" sheetId="7" r:id="rId10"/>
    <sheet state="visible" name="SPRINT 4" sheetId="8" r:id="rId11"/>
  </sheets>
  <definedNames/>
  <calcPr/>
  <extLst>
    <ext uri="GoogleSheetsCustomDataVersion2">
      <go:sheetsCustomData xmlns:go="http://customooxmlschemas.google.com/" r:id="rId12" roundtripDataChecksum="IRIXa4xHgMRQBocyB6h4tEhnEabk8P64z5XuevUo5ac="/>
    </ext>
  </extLst>
</workbook>
</file>

<file path=xl/sharedStrings.xml><?xml version="1.0" encoding="utf-8"?>
<sst xmlns="http://schemas.openxmlformats.org/spreadsheetml/2006/main" count="204" uniqueCount="95">
  <si>
    <t>Costos por paquete de trabajo</t>
  </si>
  <si>
    <t>Modelo de análisis de conversión para e-commerce</t>
  </si>
  <si>
    <t>Código</t>
  </si>
  <si>
    <t>Paquete de Trabajo</t>
  </si>
  <si>
    <t>Semanas</t>
  </si>
  <si>
    <t>Componente 1: Sprint 1 – Comprender el negocio y los datos</t>
  </si>
  <si>
    <t>1.1.1.1</t>
  </si>
  <si>
    <t>Paquete de trabajo: Análisis del problema</t>
  </si>
  <si>
    <t>1.1.1.1.1</t>
  </si>
  <si>
    <t>Actividad: Revisar acta constitutiva y contexto del e-commerce</t>
  </si>
  <si>
    <t>1.1.1.1.2</t>
  </si>
  <si>
    <t>Actividad: Definir problemática de negocio (baja conversión)</t>
  </si>
  <si>
    <t>1.1.1.1.3</t>
  </si>
  <si>
    <t>Actividad: Identificar decisiones de negocio que apoyará el modelo</t>
  </si>
  <si>
    <t>1.2.1.1</t>
  </si>
  <si>
    <t>Paquete de trabajo: Exploración de datos</t>
  </si>
  <si>
    <t>1.2.1.1.1</t>
  </si>
  <si>
    <t>Actividad: Descargar dataset y revisar estructura general</t>
  </si>
  <si>
    <t>1.2.1.1.2</t>
  </si>
  <si>
    <t>Actividad: Analizar distribución de eventos (view, cart, purchase)</t>
  </si>
  <si>
    <t>1.2.1.1.3</t>
  </si>
  <si>
    <t>Actividad: Detectar valores nulos y patrones generales</t>
  </si>
  <si>
    <t>Componente 2: Selección del subset y métricas iniciales</t>
  </si>
  <si>
    <t>2.1.1.1</t>
  </si>
  <si>
    <t>Paquete de trabajo: Selección del subset</t>
  </si>
  <si>
    <t>2.1.1.1.1</t>
  </si>
  <si>
    <t>Actividad: Definir tamaño del subset</t>
  </si>
  <si>
    <t>2.1.1.1.2</t>
  </si>
  <si>
    <t>Actividad: Aplicar muestreo del dataset</t>
  </si>
  <si>
    <t>2.1.1.1.3</t>
  </si>
  <si>
    <t>Actividad: Validar representatividad del subset</t>
  </si>
  <si>
    <t>2.2.1.1</t>
  </si>
  <si>
    <t>Paquete de trabajo: Documentación de resultados</t>
  </si>
  <si>
    <t>2.2.1.1.1</t>
  </si>
  <si>
    <t>Actividad: Elaborar análisis exploratorio</t>
  </si>
  <si>
    <t>2.2.1.1.2</t>
  </si>
  <si>
    <t>Actividad: Calcular métricas iniciales de conversión</t>
  </si>
  <si>
    <t>2.2.1.1.3</t>
  </si>
  <si>
    <t>Actividad: Documentar funnel de conversión</t>
  </si>
  <si>
    <t>Componente 3: Cierre del Sprint</t>
  </si>
  <si>
    <t>3.1.1.1</t>
  </si>
  <si>
    <t>Paquete de trabajo: Revisión final</t>
  </si>
  <si>
    <t>3.1.1.1.1</t>
  </si>
  <si>
    <t>Actividad: Revisión final y validación del Sprint 1</t>
  </si>
  <si>
    <t>TOTAL</t>
  </si>
  <si>
    <t>Curva S de Recursos</t>
  </si>
  <si>
    <t>Proyecto:</t>
  </si>
  <si>
    <t>ID:</t>
  </si>
  <si>
    <t>Código identificador del proyecto.</t>
  </si>
  <si>
    <t>Fecha de Inicio</t>
  </si>
  <si>
    <t>16 de febrero del 2026</t>
  </si>
  <si>
    <t>Fecha Fin:</t>
  </si>
  <si>
    <t>30 de mayo del 2026</t>
  </si>
  <si>
    <t>Fecha de Corte:</t>
  </si>
  <si>
    <t>Fecha a la cual se reporta el costo real.</t>
  </si>
  <si>
    <t>Trimestre</t>
  </si>
  <si>
    <t>Valor Planificado</t>
  </si>
  <si>
    <t>Valor Planificado Acumulado</t>
  </si>
  <si>
    <t>Costo Real</t>
  </si>
  <si>
    <t>Costo Real Acumulado</t>
  </si>
  <si>
    <t>Apoyo Educativo</t>
  </si>
  <si>
    <t>HT2011-12</t>
  </si>
  <si>
    <t>Año 2012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</si>
  <si>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</si>
  <si>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</si>
  <si>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</si>
  <si>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</si>
  <si>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</si>
  <si>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</si>
  <si>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</si>
  <si>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</si>
  <si>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</si>
  <si>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</si>
  <si>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</si>
  <si>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</si>
  <si>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Nombre del Proyecto</t>
  </si>
  <si>
    <t>Meses</t>
  </si>
  <si>
    <t>Componente 1</t>
  </si>
  <si>
    <t>1.2.1.3</t>
  </si>
  <si>
    <t>1.2.2.1</t>
  </si>
  <si>
    <t>1.2.2.2</t>
  </si>
  <si>
    <t>1.2.2.3</t>
  </si>
  <si>
    <t>Componente 2</t>
  </si>
  <si>
    <t>Paquete de trabajo</t>
  </si>
  <si>
    <t>2.1.1.2</t>
  </si>
  <si>
    <t>2.1.1.3</t>
  </si>
  <si>
    <t>2.1.2.1</t>
  </si>
  <si>
    <t>2.1.2.2</t>
  </si>
  <si>
    <t>2.1.2.3</t>
  </si>
  <si>
    <t>2.2.1.2</t>
  </si>
  <si>
    <t>2.2.1.3</t>
  </si>
  <si>
    <t>2.2.2.1</t>
  </si>
  <si>
    <t>2.2.2.2</t>
  </si>
  <si>
    <t>2.2.2.3</t>
  </si>
  <si>
    <t>Componente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</si>
</sst>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(* #,##0.00_);_(* \(#,##0.00\);_(* &quot;-&quot;??_);_(@_)"/>
    <numFmt numFmtId="166" formatCode="_-&quot;$&quot;* #,##0.00_-;\-&quot;$&quot;* #,##0.00_-;_-&quot;$&quot;* &quot;-&quot;??_-;_-@"/>
    <numFmt numFmtId="167" formatCode="_-&quot;$&quot;* #,##0_-;\-&quot;$&quot;* #,##0_-;_-&quot;$&quot;* &quot;-&quot;??_-;_-@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Corbel"/>
    </font>
    <font>
      <b/>
      <sz val="16.0"/>
      <color theme="1"/>
      <name val="Corbel"/>
    </font>
    <font>
      <b/>
      <sz val="12.0"/>
      <color theme="0"/>
      <name val="Corbel"/>
    </font>
    <font/>
    <font>
      <sz val="11.0"/>
      <color theme="0"/>
      <name val="Corbel"/>
    </font>
    <font>
      <b/>
      <sz val="11.0"/>
      <color theme="0"/>
      <name val="Corbel"/>
    </font>
    <font>
      <b/>
      <sz val="10.0"/>
      <color theme="0"/>
      <name val="Corbel"/>
    </font>
    <font>
      <sz val="10.0"/>
      <color theme="1"/>
      <name val="Corbel"/>
    </font>
    <font>
      <b/>
      <sz val="11.0"/>
      <color theme="1"/>
      <name val="Corbel"/>
    </font>
    <font>
      <b/>
      <sz val="16.0"/>
      <color theme="0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5073"/>
        <bgColor rgb="FF005073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376C"/>
        <bgColor rgb="FF00376C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right style="double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3" fontId="6" numFmtId="164" xfId="0" applyAlignment="1" applyBorder="1" applyFont="1" applyNumberFormat="1">
      <alignment vertical="center"/>
    </xf>
    <xf borderId="5" fillId="3" fontId="7" numFmtId="0" xfId="0" applyAlignment="1" applyBorder="1" applyFont="1">
      <alignment horizontal="center" vertical="top"/>
    </xf>
    <xf borderId="1" fillId="3" fontId="7" numFmtId="0" xfId="0" applyAlignment="1" applyBorder="1" applyFont="1">
      <alignment horizontal="center" vertical="top"/>
    </xf>
    <xf borderId="6" fillId="3" fontId="8" numFmtId="0" xfId="0" applyAlignment="1" applyBorder="1" applyFont="1">
      <alignment horizontal="right" vertical="center"/>
    </xf>
    <xf borderId="7" fillId="0" fontId="5" numFmtId="0" xfId="0" applyBorder="1" applyFont="1"/>
    <xf borderId="8" fillId="3" fontId="8" numFmtId="0" xfId="0" applyAlignment="1" applyBorder="1" applyFont="1">
      <alignment horizontal="center" vertical="top"/>
    </xf>
    <xf borderId="6" fillId="3" fontId="8" numFmtId="0" xfId="0" applyAlignment="1" applyBorder="1" applyFont="1">
      <alignment horizontal="center" vertical="center"/>
    </xf>
    <xf borderId="8" fillId="4" fontId="9" numFmtId="0" xfId="0" applyAlignment="1" applyBorder="1" applyFill="1" applyFont="1">
      <alignment horizontal="left" vertical="center"/>
    </xf>
    <xf borderId="8" fillId="4" fontId="9" numFmtId="0" xfId="0" applyAlignment="1" applyBorder="1" applyFont="1">
      <alignment vertical="top"/>
    </xf>
    <xf borderId="8" fillId="4" fontId="9" numFmtId="165" xfId="0" applyAlignment="1" applyBorder="1" applyFont="1" applyNumberFormat="1">
      <alignment horizontal="center" vertical="top"/>
    </xf>
    <xf borderId="8" fillId="4" fontId="9" numFmtId="165" xfId="0" applyAlignment="1" applyBorder="1" applyFont="1" applyNumberFormat="1">
      <alignment horizontal="center" shrinkToFit="0" vertical="top" wrapText="1"/>
    </xf>
    <xf borderId="8" fillId="4" fontId="9" numFmtId="165" xfId="0" applyAlignment="1" applyBorder="1" applyFont="1" applyNumberFormat="1">
      <alignment vertical="top"/>
    </xf>
    <xf borderId="8" fillId="0" fontId="9" numFmtId="0" xfId="0" applyAlignment="1" applyBorder="1" applyFont="1">
      <alignment horizontal="left" vertical="center"/>
    </xf>
    <xf borderId="8" fillId="0" fontId="9" numFmtId="0" xfId="0" applyAlignment="1" applyBorder="1" applyFont="1">
      <alignment vertical="top"/>
    </xf>
    <xf borderId="8" fillId="0" fontId="9" numFmtId="165" xfId="0" applyAlignment="1" applyBorder="1" applyFont="1" applyNumberFormat="1">
      <alignment horizontal="center" vertical="top"/>
    </xf>
    <xf borderId="8" fillId="0" fontId="9" numFmtId="165" xfId="0" applyAlignment="1" applyBorder="1" applyFont="1" applyNumberFormat="1">
      <alignment horizontal="center" shrinkToFit="0" vertical="top" wrapText="1"/>
    </xf>
    <xf borderId="8" fillId="0" fontId="9" numFmtId="165" xfId="0" applyAlignment="1" applyBorder="1" applyFont="1" applyNumberFormat="1">
      <alignment vertical="top"/>
    </xf>
    <xf borderId="8" fillId="3" fontId="8" numFmtId="165" xfId="0" applyAlignment="1" applyBorder="1" applyFont="1" applyNumberFormat="1">
      <alignment vertical="top"/>
    </xf>
    <xf borderId="8" fillId="3" fontId="8" numFmtId="165" xfId="0" applyAlignment="1" applyBorder="1" applyFont="1" applyNumberFormat="1">
      <alignment horizontal="right" vertical="top"/>
    </xf>
    <xf borderId="1" fillId="5" fontId="10" numFmtId="0" xfId="0" applyAlignment="1" applyBorder="1" applyFill="1" applyFont="1">
      <alignment horizontal="center"/>
    </xf>
    <xf borderId="9" fillId="5" fontId="2" numFmtId="165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2" fillId="6" fontId="11" numFmtId="0" xfId="0" applyAlignment="1" applyBorder="1" applyFill="1" applyFont="1">
      <alignment horizontal="center"/>
    </xf>
    <xf borderId="15" fillId="0" fontId="5" numFmtId="0" xfId="0" applyBorder="1" applyFont="1"/>
    <xf borderId="9" fillId="7" fontId="12" numFmtId="0" xfId="0" applyAlignment="1" applyBorder="1" applyFill="1" applyFont="1">
      <alignment horizontal="right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6" fillId="0" fontId="1" numFmtId="0" xfId="0" applyAlignment="1" applyBorder="1" applyFont="1">
      <alignment horizontal="left"/>
    </xf>
    <xf borderId="17" fillId="0" fontId="5" numFmtId="0" xfId="0" applyBorder="1" applyFont="1"/>
    <xf borderId="18" fillId="0" fontId="5" numFmtId="0" xfId="0" applyBorder="1" applyFont="1"/>
    <xf borderId="16" fillId="0" fontId="1" numFmtId="164" xfId="0" applyAlignment="1" applyBorder="1" applyFont="1" applyNumberFormat="1">
      <alignment horizontal="left"/>
    </xf>
    <xf borderId="19" fillId="0" fontId="5" numFmtId="0" xfId="0" applyBorder="1" applyFont="1"/>
    <xf borderId="16" fillId="7" fontId="12" numFmtId="0" xfId="0" applyAlignment="1" applyBorder="1" applyFont="1">
      <alignment horizontal="right"/>
    </xf>
    <xf borderId="0" fillId="0" fontId="12" numFmtId="0" xfId="0" applyAlignment="1" applyFont="1">
      <alignment horizontal="right"/>
    </xf>
    <xf borderId="0" fillId="0" fontId="1" numFmtId="0" xfId="0" applyAlignment="1" applyFont="1">
      <alignment horizontal="left"/>
    </xf>
    <xf borderId="14" fillId="0" fontId="1" numFmtId="0" xfId="0" applyAlignment="1" applyBorder="1" applyFont="1">
      <alignment horizontal="left"/>
    </xf>
    <xf borderId="9" fillId="7" fontId="1" numFmtId="0" xfId="0" applyBorder="1" applyFont="1"/>
    <xf borderId="16" fillId="7" fontId="12" numFmtId="0" xfId="0" applyAlignment="1" applyBorder="1" applyFont="1">
      <alignment horizontal="center"/>
    </xf>
    <xf borderId="9" fillId="7" fontId="12" numFmtId="0" xfId="0" applyBorder="1" applyFont="1"/>
    <xf borderId="9" fillId="7" fontId="12" numFmtId="0" xfId="0" applyAlignment="1" applyBorder="1" applyFont="1">
      <alignment horizontal="center"/>
    </xf>
    <xf borderId="9" fillId="0" fontId="1" numFmtId="166" xfId="0" applyBorder="1" applyFont="1" applyNumberForma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  <xf borderId="0" fillId="0" fontId="1" numFmtId="9" xfId="0" applyAlignment="1" applyFont="1" applyNumberFormat="1">
      <alignment vertical="center"/>
    </xf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16" fillId="0" fontId="1" numFmtId="164" xfId="0" applyAlignment="1" applyBorder="1" applyFont="1" applyNumberFormat="1">
      <alignment horizontal="center"/>
    </xf>
    <xf borderId="23" fillId="7" fontId="12" numFmtId="0" xfId="0" applyAlignment="1" applyBorder="1" applyFont="1">
      <alignment horizontal="center"/>
    </xf>
    <xf borderId="9" fillId="0" fontId="1" numFmtId="167" xfId="0" applyBorder="1" applyFont="1" applyNumberFormat="1"/>
    <xf borderId="23" fillId="0" fontId="1" numFmtId="167" xfId="0" applyBorder="1" applyFont="1" applyNumberFormat="1"/>
    <xf borderId="24" fillId="0" fontId="9" numFmtId="165" xfId="0" applyAlignment="1" applyBorder="1" applyFont="1" applyNumberFormat="1">
      <alignment horizontal="center" vertical="top"/>
    </xf>
    <xf borderId="24" fillId="0" fontId="9" numFmtId="165" xfId="0" applyAlignment="1" applyBorder="1" applyFont="1" applyNumberFormat="1">
      <alignment horizontal="center" shrinkToFit="0" vertical="top" wrapText="1"/>
    </xf>
    <xf borderId="24" fillId="0" fontId="9" numFmtId="165" xfId="0" applyAlignment="1" applyBorder="1" applyFont="1" applyNumberFormat="1">
      <alignment vertical="top"/>
    </xf>
    <xf borderId="6" fillId="0" fontId="9" numFmtId="0" xfId="0" applyAlignment="1" applyBorder="1" applyFont="1">
      <alignment vertical="top"/>
    </xf>
    <xf borderId="9" fillId="0" fontId="9" numFmtId="165" xfId="0" applyAlignment="1" applyBorder="1" applyFont="1" applyNumberFormat="1">
      <alignment horizontal="center" vertical="top"/>
    </xf>
    <xf borderId="9" fillId="0" fontId="9" numFmtId="165" xfId="0" applyAlignment="1" applyBorder="1" applyFont="1" applyNumberFormat="1">
      <alignment horizontal="center" shrinkToFit="0" vertical="top" wrapText="1"/>
    </xf>
    <xf borderId="9" fillId="0" fontId="9" numFmtId="165" xfId="0" applyAlignment="1" applyBorder="1" applyFont="1" applyNumberFormat="1">
      <alignment vertical="top"/>
    </xf>
    <xf borderId="9" fillId="0" fontId="1" numFmtId="166" xfId="0" applyAlignment="1" applyBorder="1" applyFont="1" applyNumberFormat="1">
      <alignment readingOrder="0"/>
    </xf>
    <xf borderId="16" fillId="0" fontId="1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'Plantilla Curva S'!$D$14:$O$14</c:f>
            </c:strRef>
          </c:cat>
          <c:val>
            <c:numRef>
              <c:f>'Plantilla Curva S'!$D$16:$O$16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'Plantilla Curva S'!$D$14:$O$14</c:f>
            </c:strRef>
          </c:cat>
          <c:val>
            <c:numRef>
              <c:f>'Plantilla Curva S'!$D$18:$O$18</c:f>
              <c:numCache/>
            </c:numRef>
          </c:val>
          <c:smooth val="0"/>
        </c:ser>
        <c:axId val="1710246618"/>
        <c:axId val="1709349491"/>
      </c:lineChart>
      <c:catAx>
        <c:axId val="1710246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349491"/>
      </c:catAx>
      <c:valAx>
        <c:axId val="1709349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246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Ejemplo!$D$14:$O$14</c:f>
            </c:strRef>
          </c:cat>
          <c:val>
            <c:numRef>
              <c:f>Ejemplo!$D$16:$O$16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Ejemplo!$D$14:$O$14</c:f>
            </c:strRef>
          </c:cat>
          <c:val>
            <c:numRef>
              <c:f>Ejemplo!$D$18:$O$18</c:f>
              <c:numCache/>
            </c:numRef>
          </c:val>
          <c:smooth val="0"/>
        </c:ser>
        <c:axId val="1114063011"/>
        <c:axId val="1136031845"/>
      </c:lineChart>
      <c:catAx>
        <c:axId val="1114063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031845"/>
      </c:catAx>
      <c:valAx>
        <c:axId val="1136031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063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'Plantilla Curva S'!$D$14:$O$14</c:f>
            </c:strRef>
          </c:cat>
          <c:val>
            <c:numRef>
              <c:f>'Plantilla Curva S'!$D$16:$O$16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'Plantilla Curva S'!$D$14:$O$14</c:f>
            </c:strRef>
          </c:cat>
          <c:val>
            <c:numRef>
              <c:f>'Plantilla Curva S'!$D$18:$O$18</c:f>
              <c:numCache/>
            </c:numRef>
          </c:val>
          <c:smooth val="0"/>
        </c:ser>
        <c:axId val="320601912"/>
        <c:axId val="1779642927"/>
      </c:lineChart>
      <c:catAx>
        <c:axId val="320601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9642927"/>
      </c:catAx>
      <c:valAx>
        <c:axId val="1779642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06019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2'!$D$14:$O$14</c:f>
            </c:strRef>
          </c:cat>
          <c:val>
            <c:numRef>
              <c:f>'SPRINT 2'!$D$16:$O$16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2'!$D$14:$O$14</c:f>
            </c:strRef>
          </c:cat>
          <c:val>
            <c:numRef>
              <c:f>'SPRINT 2'!$D$18:$O$18</c:f>
              <c:numCache/>
            </c:numRef>
          </c:val>
          <c:smooth val="0"/>
        </c:ser>
        <c:axId val="2047102995"/>
        <c:axId val="309817381"/>
      </c:lineChart>
      <c:catAx>
        <c:axId val="2047102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17381"/>
      </c:catAx>
      <c:valAx>
        <c:axId val="309817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102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3'!$D$14:$O$14</c:f>
            </c:strRef>
          </c:cat>
          <c:val>
            <c:numRef>
              <c:f>'SPRINT 3'!$D$16:$O$16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3'!$D$14:$O$14</c:f>
            </c:strRef>
          </c:cat>
          <c:val>
            <c:numRef>
              <c:f>'SPRINT 3'!$D$18:$O$18</c:f>
              <c:numCache/>
            </c:numRef>
          </c:val>
          <c:smooth val="0"/>
        </c:ser>
        <c:axId val="900572177"/>
        <c:axId val="599462521"/>
      </c:lineChart>
      <c:catAx>
        <c:axId val="900572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462521"/>
      </c:catAx>
      <c:valAx>
        <c:axId val="599462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72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4'!$D$14:$O$14</c:f>
            </c:strRef>
          </c:cat>
          <c:val>
            <c:numRef>
              <c:f>'SPRINT 4'!$D$16:$O$16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4'!$D$14:$O$14</c:f>
            </c:strRef>
          </c:cat>
          <c:val>
            <c:numRef>
              <c:f>'SPRINT 4'!$D$18:$O$18</c:f>
              <c:numCache/>
            </c:numRef>
          </c:val>
          <c:smooth val="0"/>
        </c:ser>
        <c:axId val="2069613991"/>
        <c:axId val="57149879"/>
      </c:lineChart>
      <c:catAx>
        <c:axId val="2069613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49879"/>
      </c:catAx>
      <c:valAx>
        <c:axId val="57149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613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85725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18</xdr:row>
      <xdr:rowOff>142875</xdr:rowOff>
    </xdr:from>
    <xdr:ext cx="7248525" cy="3352800"/>
    <xdr:graphicFrame>
      <xdr:nvGraphicFramePr>
        <xdr:cNvPr id="196752155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0</xdr:row>
      <xdr:rowOff>133350</xdr:rowOff>
    </xdr:from>
    <xdr:ext cx="828675" cy="895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18</xdr:row>
      <xdr:rowOff>142875</xdr:rowOff>
    </xdr:from>
    <xdr:ext cx="9134475" cy="4772025"/>
    <xdr:graphicFrame>
      <xdr:nvGraphicFramePr>
        <xdr:cNvPr id="214295623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1076325</xdr:colOff>
      <xdr:row>1</xdr:row>
      <xdr:rowOff>28575</xdr:rowOff>
    </xdr:from>
    <xdr:ext cx="2124075" cy="866775"/>
    <xdr:pic>
      <xdr:nvPicPr>
        <xdr:cNvPr descr="C:\Users\francysr\Desktop\logo_PM4R Cloud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8096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16</xdr:row>
      <xdr:rowOff>142875</xdr:rowOff>
    </xdr:from>
    <xdr:ext cx="6686550" cy="3352800"/>
    <xdr:graphicFrame>
      <xdr:nvGraphicFramePr>
        <xdr:cNvPr id="174581810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1990725</xdr:colOff>
      <xdr:row>18</xdr:row>
      <xdr:rowOff>142875</xdr:rowOff>
    </xdr:from>
    <xdr:ext cx="7915275" cy="3667125"/>
    <xdr:graphicFrame>
      <xdr:nvGraphicFramePr>
        <xdr:cNvPr id="134398470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0</xdr:row>
      <xdr:rowOff>133350</xdr:rowOff>
    </xdr:from>
    <xdr:ext cx="828675" cy="895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1990725</xdr:colOff>
      <xdr:row>18</xdr:row>
      <xdr:rowOff>142875</xdr:rowOff>
    </xdr:from>
    <xdr:ext cx="7915275" cy="3667125"/>
    <xdr:graphicFrame>
      <xdr:nvGraphicFramePr>
        <xdr:cNvPr id="571484904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0</xdr:row>
      <xdr:rowOff>133350</xdr:rowOff>
    </xdr:from>
    <xdr:ext cx="828675" cy="895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1990725</xdr:colOff>
      <xdr:row>18</xdr:row>
      <xdr:rowOff>142875</xdr:rowOff>
    </xdr:from>
    <xdr:ext cx="7915275" cy="3667125"/>
    <xdr:graphicFrame>
      <xdr:nvGraphicFramePr>
        <xdr:cNvPr id="1356998215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0</xdr:row>
      <xdr:rowOff>133350</xdr:rowOff>
    </xdr:from>
    <xdr:ext cx="828675" cy="895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7.86"/>
    <col customWidth="1" min="2" max="2" width="53.29"/>
    <col customWidth="1" min="3" max="3" width="11.86"/>
    <col customWidth="1" min="4" max="4" width="12.14"/>
    <col customWidth="1" min="5" max="5" width="10.86"/>
    <col customWidth="1" min="6" max="14" width="10.43"/>
    <col customWidth="1" min="15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2"/>
      <c r="D3" s="3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</v>
      </c>
      <c r="B6" s="5"/>
      <c r="C6" s="5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2</v>
      </c>
      <c r="B7" s="8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4</v>
      </c>
      <c r="B8" s="11"/>
      <c r="C8" s="12">
        <v>1.0</v>
      </c>
      <c r="D8" s="12">
        <v>2.0</v>
      </c>
      <c r="E8" s="12">
        <v>3.0</v>
      </c>
      <c r="F8" s="12">
        <v>4.0</v>
      </c>
      <c r="G8" s="12">
        <v>5.0</v>
      </c>
      <c r="H8" s="12">
        <v>6.0</v>
      </c>
      <c r="I8" s="12">
        <v>7.0</v>
      </c>
      <c r="J8" s="12">
        <v>8.0</v>
      </c>
      <c r="K8" s="12">
        <v>9.0</v>
      </c>
      <c r="L8" s="12">
        <v>10.0</v>
      </c>
      <c r="M8" s="12">
        <v>11.0</v>
      </c>
      <c r="N8" s="12">
        <v>12.0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</v>
      </c>
      <c r="B9" s="11"/>
      <c r="C9" s="12">
        <v>12000.0</v>
      </c>
      <c r="D9" s="12">
        <v>12000.0</v>
      </c>
      <c r="E9" s="12">
        <v>18000.0</v>
      </c>
      <c r="F9" s="12">
        <v>18000.0</v>
      </c>
      <c r="G9" s="12">
        <v>33000.0</v>
      </c>
      <c r="H9" s="12">
        <v>33000.0</v>
      </c>
      <c r="I9" s="12">
        <v>38000.0</v>
      </c>
      <c r="J9" s="12">
        <v>40000.0</v>
      </c>
      <c r="K9" s="12">
        <v>27000.0</v>
      </c>
      <c r="L9" s="12">
        <v>27000.0</v>
      </c>
      <c r="M9" s="12">
        <v>21000.0</v>
      </c>
      <c r="N9" s="12">
        <v>21000.0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6</v>
      </c>
      <c r="B10" s="15" t="s">
        <v>7</v>
      </c>
      <c r="C10" s="16"/>
      <c r="D10" s="17"/>
      <c r="E10" s="16"/>
      <c r="F10" s="18"/>
      <c r="G10" s="18"/>
      <c r="H10" s="18"/>
      <c r="I10" s="18"/>
      <c r="J10" s="18"/>
      <c r="K10" s="18"/>
      <c r="L10" s="18"/>
      <c r="M10" s="18"/>
      <c r="N10" s="1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8</v>
      </c>
      <c r="B11" s="20" t="s">
        <v>9</v>
      </c>
      <c r="C11" s="21">
        <v>1000.0</v>
      </c>
      <c r="D11" s="22"/>
      <c r="E11" s="21"/>
      <c r="F11" s="23"/>
      <c r="G11" s="23"/>
      <c r="H11" s="23"/>
      <c r="I11" s="23"/>
      <c r="J11" s="23"/>
      <c r="K11" s="23"/>
      <c r="L11" s="23"/>
      <c r="M11" s="23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10</v>
      </c>
      <c r="B12" s="20" t="s">
        <v>11</v>
      </c>
      <c r="C12" s="21">
        <v>2000.0</v>
      </c>
      <c r="D12" s="22"/>
      <c r="E12" s="21"/>
      <c r="F12" s="23"/>
      <c r="G12" s="23"/>
      <c r="H12" s="23"/>
      <c r="I12" s="23"/>
      <c r="J12" s="23"/>
      <c r="K12" s="23"/>
      <c r="L12" s="23"/>
      <c r="M12" s="23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12</v>
      </c>
      <c r="B13" s="20" t="s">
        <v>13</v>
      </c>
      <c r="C13" s="21">
        <v>500.0</v>
      </c>
      <c r="D13" s="22"/>
      <c r="E13" s="21"/>
      <c r="F13" s="23"/>
      <c r="G13" s="23"/>
      <c r="H13" s="23"/>
      <c r="I13" s="23"/>
      <c r="J13" s="23"/>
      <c r="K13" s="23"/>
      <c r="L13" s="23"/>
      <c r="M13" s="23"/>
      <c r="N13" s="2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14</v>
      </c>
      <c r="B14" s="15" t="s">
        <v>15</v>
      </c>
      <c r="C14" s="16"/>
      <c r="D14" s="17"/>
      <c r="E14" s="16"/>
      <c r="F14" s="18"/>
      <c r="G14" s="18"/>
      <c r="H14" s="18"/>
      <c r="I14" s="18"/>
      <c r="J14" s="18"/>
      <c r="K14" s="18"/>
      <c r="L14" s="18"/>
      <c r="M14" s="18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16</v>
      </c>
      <c r="B15" s="20" t="s">
        <v>17</v>
      </c>
      <c r="C15" s="21">
        <v>2500.0</v>
      </c>
      <c r="D15" s="22"/>
      <c r="E15" s="21"/>
      <c r="F15" s="23"/>
      <c r="G15" s="23"/>
      <c r="H15" s="23"/>
      <c r="I15" s="23"/>
      <c r="J15" s="23"/>
      <c r="K15" s="23"/>
      <c r="L15" s="23"/>
      <c r="M15" s="23"/>
      <c r="N15" s="2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18</v>
      </c>
      <c r="B16" s="20" t="s">
        <v>19</v>
      </c>
      <c r="C16" s="21">
        <v>2000.0</v>
      </c>
      <c r="D16" s="22"/>
      <c r="E16" s="21"/>
      <c r="F16" s="23"/>
      <c r="G16" s="23"/>
      <c r="H16" s="23"/>
      <c r="I16" s="23"/>
      <c r="J16" s="23"/>
      <c r="K16" s="23"/>
      <c r="L16" s="23"/>
      <c r="M16" s="23"/>
      <c r="N16" s="2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20</v>
      </c>
      <c r="B17" s="20" t="s">
        <v>21</v>
      </c>
      <c r="C17" s="21">
        <v>1000.0</v>
      </c>
      <c r="D17" s="22"/>
      <c r="E17" s="21"/>
      <c r="F17" s="23"/>
      <c r="G17" s="23"/>
      <c r="H17" s="23"/>
      <c r="I17" s="23"/>
      <c r="J17" s="23"/>
      <c r="K17" s="23"/>
      <c r="L17" s="23"/>
      <c r="M17" s="23"/>
      <c r="N17" s="2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22</v>
      </c>
      <c r="B18" s="11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23</v>
      </c>
      <c r="B19" s="15" t="s">
        <v>24</v>
      </c>
      <c r="C19" s="16"/>
      <c r="D19" s="17"/>
      <c r="E19" s="16"/>
      <c r="F19" s="18"/>
      <c r="G19" s="18"/>
      <c r="H19" s="18"/>
      <c r="I19" s="18"/>
      <c r="J19" s="18"/>
      <c r="K19" s="18"/>
      <c r="L19" s="18"/>
      <c r="M19" s="18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25</v>
      </c>
      <c r="B20" s="20" t="s">
        <v>26</v>
      </c>
      <c r="C20" s="21">
        <v>2000.0</v>
      </c>
      <c r="D20" s="22"/>
      <c r="E20" s="21"/>
      <c r="F20" s="23"/>
      <c r="G20" s="23"/>
      <c r="H20" s="23"/>
      <c r="I20" s="23"/>
      <c r="J20" s="23"/>
      <c r="K20" s="23"/>
      <c r="L20" s="23"/>
      <c r="M20" s="23"/>
      <c r="N20" s="2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 t="s">
        <v>27</v>
      </c>
      <c r="B21" s="20" t="s">
        <v>28</v>
      </c>
      <c r="C21" s="21">
        <v>1000.0</v>
      </c>
      <c r="D21" s="22"/>
      <c r="E21" s="21"/>
      <c r="F21" s="23"/>
      <c r="G21" s="23"/>
      <c r="H21" s="23"/>
      <c r="I21" s="23"/>
      <c r="J21" s="23"/>
      <c r="K21" s="23"/>
      <c r="L21" s="23"/>
      <c r="M21" s="23"/>
      <c r="N21" s="2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 t="s">
        <v>29</v>
      </c>
      <c r="B22" s="20" t="s">
        <v>30</v>
      </c>
      <c r="C22" s="21"/>
      <c r="D22" s="22">
        <v>900.0</v>
      </c>
      <c r="E22" s="21"/>
      <c r="F22" s="23"/>
      <c r="G22" s="23"/>
      <c r="H22" s="23"/>
      <c r="I22" s="23"/>
      <c r="J22" s="23"/>
      <c r="K22" s="23"/>
      <c r="L22" s="23"/>
      <c r="M22" s="23"/>
      <c r="N22" s="2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31</v>
      </c>
      <c r="B23" s="15" t="s">
        <v>32</v>
      </c>
      <c r="C23" s="16"/>
      <c r="D23" s="17"/>
      <c r="E23" s="16"/>
      <c r="F23" s="18"/>
      <c r="G23" s="18"/>
      <c r="H23" s="18"/>
      <c r="I23" s="18"/>
      <c r="J23" s="18"/>
      <c r="K23" s="18"/>
      <c r="L23" s="18"/>
      <c r="M23" s="18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 t="s">
        <v>33</v>
      </c>
      <c r="B24" s="20" t="s">
        <v>34</v>
      </c>
      <c r="C24" s="21"/>
      <c r="D24" s="22">
        <v>3000.0</v>
      </c>
      <c r="E24" s="21"/>
      <c r="F24" s="23"/>
      <c r="G24" s="23"/>
      <c r="H24" s="23"/>
      <c r="I24" s="23"/>
      <c r="J24" s="23"/>
      <c r="K24" s="23"/>
      <c r="L24" s="23"/>
      <c r="M24" s="23"/>
      <c r="N24" s="2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9" t="s">
        <v>35</v>
      </c>
      <c r="B25" s="20" t="s">
        <v>36</v>
      </c>
      <c r="C25" s="21"/>
      <c r="D25" s="22">
        <v>5000.0</v>
      </c>
      <c r="E25" s="21"/>
      <c r="F25" s="23"/>
      <c r="G25" s="23"/>
      <c r="H25" s="23"/>
      <c r="I25" s="23"/>
      <c r="J25" s="23"/>
      <c r="K25" s="23"/>
      <c r="L25" s="23"/>
      <c r="M25" s="23"/>
      <c r="N25" s="2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 t="s">
        <v>37</v>
      </c>
      <c r="B26" s="20" t="s">
        <v>38</v>
      </c>
      <c r="C26" s="21"/>
      <c r="D26" s="22">
        <v>3000.0</v>
      </c>
      <c r="E26" s="21"/>
      <c r="F26" s="23"/>
      <c r="G26" s="23"/>
      <c r="H26" s="23"/>
      <c r="I26" s="23"/>
      <c r="J26" s="23"/>
      <c r="K26" s="23"/>
      <c r="L26" s="23"/>
      <c r="M26" s="23"/>
      <c r="N26" s="2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 t="s">
        <v>39</v>
      </c>
      <c r="B27" s="11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40</v>
      </c>
      <c r="B28" s="15" t="s">
        <v>41</v>
      </c>
      <c r="C28" s="16"/>
      <c r="D28" s="17"/>
      <c r="E28" s="16"/>
      <c r="F28" s="18"/>
      <c r="G28" s="18"/>
      <c r="H28" s="18"/>
      <c r="I28" s="18"/>
      <c r="J28" s="18"/>
      <c r="K28" s="18"/>
      <c r="L28" s="18"/>
      <c r="M28" s="18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9" t="s">
        <v>42</v>
      </c>
      <c r="B29" s="20" t="s">
        <v>43</v>
      </c>
      <c r="C29" s="21">
        <v>0.0</v>
      </c>
      <c r="D29" s="22">
        <v>100.0</v>
      </c>
      <c r="E29" s="21"/>
      <c r="F29" s="23"/>
      <c r="G29" s="23"/>
      <c r="H29" s="23"/>
      <c r="I29" s="23"/>
      <c r="J29" s="23"/>
      <c r="K29" s="23"/>
      <c r="L29" s="23"/>
      <c r="M29" s="23"/>
      <c r="N29" s="2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6" t="s">
        <v>44</v>
      </c>
      <c r="C30" s="27">
        <f t="shared" ref="C30:N30" si="1">SUM(C10:C29)</f>
        <v>12000</v>
      </c>
      <c r="D30" s="27">
        <f t="shared" si="1"/>
        <v>12000</v>
      </c>
      <c r="E30" s="27">
        <f t="shared" si="1"/>
        <v>0</v>
      </c>
      <c r="F30" s="27">
        <f t="shared" si="1"/>
        <v>0</v>
      </c>
      <c r="G30" s="27">
        <f t="shared" si="1"/>
        <v>0</v>
      </c>
      <c r="H30" s="27">
        <f t="shared" si="1"/>
        <v>0</v>
      </c>
      <c r="I30" s="27">
        <f t="shared" si="1"/>
        <v>0</v>
      </c>
      <c r="J30" s="27">
        <f t="shared" si="1"/>
        <v>0</v>
      </c>
      <c r="K30" s="27">
        <f t="shared" si="1"/>
        <v>0</v>
      </c>
      <c r="L30" s="27">
        <f t="shared" si="1"/>
        <v>0</v>
      </c>
      <c r="M30" s="27">
        <f t="shared" si="1"/>
        <v>0</v>
      </c>
      <c r="N30" s="27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6:D6"/>
    <mergeCell ref="A8:B8"/>
    <mergeCell ref="A9:B9"/>
    <mergeCell ref="A18:B18"/>
    <mergeCell ref="A27:B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3" width="44.71"/>
    <col customWidth="1" min="4" max="4" width="16.71"/>
    <col customWidth="1" min="5" max="5" width="16.14"/>
    <col customWidth="1" min="6" max="6" width="17.43"/>
    <col customWidth="1" min="7" max="7" width="14.86"/>
    <col customWidth="1" min="8" max="8" width="14.43"/>
    <col customWidth="1" min="9" max="9" width="16.29"/>
    <col customWidth="1" min="10" max="12" width="16.43"/>
    <col customWidth="1" min="13" max="14" width="15.43"/>
    <col customWidth="1" min="15" max="15" width="16.71"/>
    <col customWidth="1" min="16" max="26" width="11.43"/>
  </cols>
  <sheetData>
    <row r="2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B3" s="31"/>
      <c r="O3" s="32"/>
    </row>
    <row r="4">
      <c r="B4" s="31"/>
      <c r="O4" s="32"/>
    </row>
    <row r="5">
      <c r="B5" s="31"/>
      <c r="O5" s="32"/>
    </row>
    <row r="6">
      <c r="B6" s="31"/>
      <c r="O6" s="32"/>
    </row>
    <row r="7">
      <c r="B7" s="31"/>
      <c r="C7" s="33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4"/>
    </row>
    <row r="8">
      <c r="B8" s="31"/>
      <c r="O8" s="32"/>
    </row>
    <row r="9">
      <c r="B9" s="31"/>
      <c r="C9" s="35" t="s">
        <v>46</v>
      </c>
      <c r="D9" s="36" t="s">
        <v>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>
      <c r="B10" s="31"/>
      <c r="C10" s="35" t="s">
        <v>47</v>
      </c>
      <c r="D10" s="39" t="s">
        <v>48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>
      <c r="B11" s="31"/>
      <c r="C11" s="35" t="s">
        <v>49</v>
      </c>
      <c r="D11" s="42" t="s">
        <v>50</v>
      </c>
      <c r="E11" s="43"/>
      <c r="F11" s="44" t="s">
        <v>51</v>
      </c>
      <c r="G11" s="43"/>
      <c r="H11" s="39" t="s">
        <v>52</v>
      </c>
      <c r="I11" s="40"/>
      <c r="J11" s="43"/>
      <c r="K11" s="44" t="s">
        <v>53</v>
      </c>
      <c r="L11" s="43"/>
      <c r="M11" s="42" t="s">
        <v>54</v>
      </c>
      <c r="N11" s="40"/>
      <c r="O11" s="41"/>
    </row>
    <row r="12">
      <c r="B12" s="3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</row>
    <row r="13">
      <c r="B13" s="31"/>
      <c r="C13" s="48"/>
      <c r="D13" s="49" t="s">
        <v>55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>
      <c r="B14" s="31"/>
      <c r="C14" s="50"/>
      <c r="D14" s="51">
        <v>1.0</v>
      </c>
      <c r="E14" s="51">
        <v>2.0</v>
      </c>
      <c r="F14" s="51">
        <v>3.0</v>
      </c>
      <c r="G14" s="51">
        <v>4.0</v>
      </c>
      <c r="H14" s="51">
        <v>5.0</v>
      </c>
      <c r="I14" s="51">
        <v>6.0</v>
      </c>
      <c r="J14" s="51">
        <v>7.0</v>
      </c>
      <c r="K14" s="51">
        <v>8.0</v>
      </c>
      <c r="L14" s="51">
        <v>9.0</v>
      </c>
      <c r="M14" s="51">
        <v>10.0</v>
      </c>
      <c r="N14" s="51">
        <v>11.0</v>
      </c>
      <c r="O14" s="51">
        <v>12.0</v>
      </c>
    </row>
    <row r="15">
      <c r="B15" s="31"/>
      <c r="C15" s="35" t="s">
        <v>56</v>
      </c>
      <c r="D15" s="52">
        <f>'Detalle de Costos'!C9</f>
        <v>12000</v>
      </c>
      <c r="E15" s="52">
        <f>'Detalle de Costos'!D9</f>
        <v>12000</v>
      </c>
      <c r="F15" s="52">
        <f>'Detalle de Costos'!E9</f>
        <v>18000</v>
      </c>
      <c r="G15" s="52">
        <f>'Detalle de Costos'!F9</f>
        <v>18000</v>
      </c>
      <c r="H15" s="52">
        <f>'Detalle de Costos'!G9</f>
        <v>33000</v>
      </c>
      <c r="I15" s="52">
        <f>'Detalle de Costos'!H9</f>
        <v>33000</v>
      </c>
      <c r="J15" s="52">
        <f>'Detalle de Costos'!I9</f>
        <v>38000</v>
      </c>
      <c r="K15" s="52">
        <f>'Detalle de Costos'!J9</f>
        <v>40000</v>
      </c>
      <c r="L15" s="52">
        <f>'Detalle de Costos'!K9</f>
        <v>27000</v>
      </c>
      <c r="M15" s="52">
        <f>'Detalle de Costos'!L9</f>
        <v>27000</v>
      </c>
      <c r="N15" s="52">
        <f>'Detalle de Costos'!M9</f>
        <v>21000</v>
      </c>
      <c r="O15" s="52">
        <f>'Detalle de Costos'!N9</f>
        <v>21000</v>
      </c>
    </row>
    <row r="16">
      <c r="B16" s="31"/>
      <c r="C16" s="35" t="s">
        <v>57</v>
      </c>
      <c r="D16" s="52">
        <f>D15</f>
        <v>12000</v>
      </c>
      <c r="E16" s="52">
        <f t="shared" ref="E16:O16" si="1">E15+D16</f>
        <v>24000</v>
      </c>
      <c r="F16" s="52">
        <f t="shared" si="1"/>
        <v>42000</v>
      </c>
      <c r="G16" s="52">
        <f t="shared" si="1"/>
        <v>60000</v>
      </c>
      <c r="H16" s="52">
        <f t="shared" si="1"/>
        <v>93000</v>
      </c>
      <c r="I16" s="52">
        <f t="shared" si="1"/>
        <v>126000</v>
      </c>
      <c r="J16" s="52">
        <f t="shared" si="1"/>
        <v>164000</v>
      </c>
      <c r="K16" s="52">
        <f t="shared" si="1"/>
        <v>204000</v>
      </c>
      <c r="L16" s="52">
        <f t="shared" si="1"/>
        <v>231000</v>
      </c>
      <c r="M16" s="52">
        <f t="shared" si="1"/>
        <v>258000</v>
      </c>
      <c r="N16" s="52">
        <f t="shared" si="1"/>
        <v>279000</v>
      </c>
      <c r="O16" s="52">
        <f t="shared" si="1"/>
        <v>300000</v>
      </c>
    </row>
    <row r="17">
      <c r="B17" s="31"/>
      <c r="C17" s="35" t="s">
        <v>58</v>
      </c>
      <c r="D17" s="52">
        <f>'Detalle de Costos'!C30</f>
        <v>12000</v>
      </c>
      <c r="E17" s="52">
        <f>'Detalle de Costos'!D30</f>
        <v>12000</v>
      </c>
      <c r="F17" s="52">
        <v>18000.0</v>
      </c>
      <c r="G17" s="52">
        <v>18000.0</v>
      </c>
      <c r="H17" s="52">
        <f>'Detalle de Costos'!G30</f>
        <v>0</v>
      </c>
      <c r="I17" s="52">
        <f>'Detalle de Costos'!H30</f>
        <v>0</v>
      </c>
      <c r="J17" s="52">
        <f>'Detalle de Costos'!I30</f>
        <v>0</v>
      </c>
      <c r="K17" s="52">
        <f>'Detalle de Costos'!J30</f>
        <v>0</v>
      </c>
      <c r="L17" s="52">
        <f>'Detalle de Costos'!K30</f>
        <v>0</v>
      </c>
      <c r="M17" s="52">
        <f>'Detalle de Costos'!L30</f>
        <v>0</v>
      </c>
      <c r="N17" s="52">
        <f>'Detalle de Costos'!M30</f>
        <v>0</v>
      </c>
      <c r="O17" s="52">
        <f>'Detalle de Costos'!N30</f>
        <v>0</v>
      </c>
    </row>
    <row r="18">
      <c r="B18" s="31"/>
      <c r="C18" s="35" t="s">
        <v>59</v>
      </c>
      <c r="D18" s="52">
        <f>D17</f>
        <v>12000</v>
      </c>
      <c r="E18" s="52">
        <f t="shared" ref="E18:H18" si="2">D18+E17</f>
        <v>24000</v>
      </c>
      <c r="F18" s="52">
        <f t="shared" si="2"/>
        <v>42000</v>
      </c>
      <c r="G18" s="52">
        <f t="shared" si="2"/>
        <v>60000</v>
      </c>
      <c r="H18" s="52">
        <f t="shared" si="2"/>
        <v>60000</v>
      </c>
      <c r="I18" s="52">
        <f t="shared" ref="I18:O18" si="3">I17+H17</f>
        <v>0</v>
      </c>
      <c r="J18" s="52">
        <f t="shared" si="3"/>
        <v>0</v>
      </c>
      <c r="K18" s="52">
        <f t="shared" si="3"/>
        <v>0</v>
      </c>
      <c r="L18" s="52">
        <f t="shared" si="3"/>
        <v>0</v>
      </c>
      <c r="M18" s="52">
        <f t="shared" si="3"/>
        <v>0</v>
      </c>
      <c r="N18" s="52">
        <f t="shared" si="3"/>
        <v>0</v>
      </c>
      <c r="O18" s="52">
        <f t="shared" si="3"/>
        <v>0</v>
      </c>
    </row>
    <row r="19">
      <c r="B19" s="31"/>
      <c r="O19" s="32"/>
    </row>
    <row r="20">
      <c r="B20" s="31"/>
      <c r="O20" s="32"/>
    </row>
    <row r="21" ht="15.75" customHeight="1">
      <c r="B21" s="31"/>
      <c r="C21" s="53"/>
      <c r="D21" s="54"/>
      <c r="E21" s="55"/>
      <c r="O21" s="32"/>
    </row>
    <row r="22" ht="15.75" customHeight="1">
      <c r="B22" s="31"/>
      <c r="O22" s="32"/>
    </row>
    <row r="23" ht="15.75" customHeight="1">
      <c r="B23" s="31"/>
      <c r="O23" s="32"/>
    </row>
    <row r="24" ht="15.75" customHeight="1">
      <c r="B24" s="31"/>
      <c r="O24" s="32"/>
    </row>
    <row r="25" ht="15.75" customHeight="1">
      <c r="B25" s="31"/>
      <c r="O25" s="32"/>
    </row>
    <row r="26" ht="15.75" customHeight="1">
      <c r="B26" s="31"/>
      <c r="O26" s="32"/>
    </row>
    <row r="27" ht="15.75" customHeight="1">
      <c r="B27" s="31"/>
      <c r="O27" s="32"/>
    </row>
    <row r="28" ht="15.75" customHeight="1">
      <c r="B28" s="31"/>
      <c r="O28" s="32"/>
    </row>
    <row r="29" ht="15.75" customHeight="1">
      <c r="B29" s="31"/>
      <c r="O29" s="32"/>
    </row>
    <row r="30" ht="15.75" customHeight="1">
      <c r="B30" s="31"/>
      <c r="O30" s="32"/>
    </row>
    <row r="31" ht="15.75" customHeight="1">
      <c r="B31" s="31"/>
      <c r="O31" s="32"/>
    </row>
    <row r="32" ht="15.75" customHeight="1">
      <c r="B32" s="31"/>
      <c r="O32" s="32"/>
    </row>
    <row r="33" ht="15.75" customHeight="1">
      <c r="B33" s="31"/>
      <c r="O33" s="32"/>
    </row>
    <row r="34" ht="15.75" customHeight="1">
      <c r="B34" s="31"/>
      <c r="O34" s="32"/>
    </row>
    <row r="35" ht="15.75" customHeight="1">
      <c r="B35" s="31"/>
      <c r="O35" s="32"/>
    </row>
    <row r="36" ht="15.75" customHeight="1">
      <c r="B36" s="31"/>
      <c r="O36" s="32"/>
    </row>
    <row r="37" ht="15.75" customHeight="1">
      <c r="B37" s="31"/>
      <c r="O37" s="32"/>
    </row>
    <row r="38" ht="15.75" customHeight="1">
      <c r="B38" s="31"/>
      <c r="O38" s="32"/>
    </row>
    <row r="39" ht="15.75" customHeight="1">
      <c r="B39" s="31"/>
      <c r="O39" s="32"/>
    </row>
    <row r="40" ht="15.75" customHeight="1">
      <c r="B40" s="31"/>
      <c r="O40" s="32"/>
    </row>
    <row r="41" ht="15.75" customHeight="1">
      <c r="B41" s="31"/>
      <c r="O41" s="32"/>
    </row>
    <row r="42" ht="15.75" customHeight="1">
      <c r="B42" s="31"/>
      <c r="O42" s="32"/>
    </row>
    <row r="43" ht="15.75" customHeight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O7"/>
    <mergeCell ref="D10:O10"/>
    <mergeCell ref="D11:E11"/>
    <mergeCell ref="F11:G11"/>
    <mergeCell ref="H11:J11"/>
    <mergeCell ref="K11:L11"/>
    <mergeCell ref="M11:O11"/>
    <mergeCell ref="D13:O13"/>
  </mergeCells>
  <printOptions/>
  <pageMargins bottom="0.75" footer="0.0" header="0.0" left="0.7" right="0.7" top="0.75"/>
  <pageSetup scale="3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3" width="44.71"/>
    <col customWidth="1" min="4" max="4" width="20.0"/>
    <col customWidth="1" min="5" max="5" width="16.14"/>
    <col customWidth="1" min="6" max="6" width="17.43"/>
    <col customWidth="1" min="7" max="8" width="14.86"/>
    <col customWidth="1" min="9" max="9" width="14.43"/>
    <col customWidth="1" min="10" max="10" width="16.43"/>
    <col customWidth="1" min="11" max="11" width="14.43"/>
    <col customWidth="1" min="12" max="12" width="16.43"/>
    <col customWidth="1" min="13" max="14" width="15.43"/>
    <col customWidth="1" min="15" max="15" width="16.14"/>
    <col customWidth="1" min="16" max="26" width="11.43"/>
  </cols>
  <sheetData>
    <row r="2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B3" s="31"/>
      <c r="O3" s="32"/>
    </row>
    <row r="4">
      <c r="B4" s="31"/>
      <c r="O4" s="32"/>
    </row>
    <row r="5">
      <c r="B5" s="31"/>
      <c r="O5" s="32"/>
    </row>
    <row r="6">
      <c r="B6" s="31"/>
      <c r="O6" s="32"/>
    </row>
    <row r="7">
      <c r="B7" s="31"/>
      <c r="C7" s="33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4"/>
    </row>
    <row r="8">
      <c r="B8" s="31"/>
      <c r="O8" s="32"/>
    </row>
    <row r="9">
      <c r="B9" s="31"/>
      <c r="C9" s="35" t="s">
        <v>46</v>
      </c>
      <c r="D9" s="39" t="s">
        <v>60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</row>
    <row r="10">
      <c r="B10" s="31"/>
      <c r="C10" s="35" t="s">
        <v>47</v>
      </c>
      <c r="D10" s="39" t="s">
        <v>61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>
      <c r="B11" s="31"/>
      <c r="C11" s="35" t="s">
        <v>49</v>
      </c>
      <c r="D11" s="59">
        <v>40695.0</v>
      </c>
      <c r="E11" s="43"/>
      <c r="F11" s="44" t="s">
        <v>51</v>
      </c>
      <c r="G11" s="43"/>
      <c r="H11" s="59">
        <v>41455.0</v>
      </c>
      <c r="I11" s="40"/>
      <c r="J11" s="43"/>
      <c r="K11" s="44" t="s">
        <v>53</v>
      </c>
      <c r="L11" s="43"/>
      <c r="M11" s="59">
        <v>40908.0</v>
      </c>
      <c r="N11" s="40"/>
      <c r="O11" s="41"/>
    </row>
    <row r="12">
      <c r="B12" s="3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</row>
    <row r="13">
      <c r="B13" s="31"/>
      <c r="C13" s="48"/>
      <c r="D13" s="49" t="s">
        <v>62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>
      <c r="B14" s="31"/>
      <c r="C14" s="50"/>
      <c r="D14" s="51" t="s">
        <v>63</v>
      </c>
      <c r="E14" s="51" t="s">
        <v>64</v>
      </c>
      <c r="F14" s="51" t="s">
        <v>65</v>
      </c>
      <c r="G14" s="51" t="s">
        <v>66</v>
      </c>
      <c r="H14" s="51" t="s">
        <v>67</v>
      </c>
      <c r="I14" s="51" t="s">
        <v>68</v>
      </c>
      <c r="J14" s="51" t="s">
        <v>69</v>
      </c>
      <c r="K14" s="51" t="s">
        <v>70</v>
      </c>
      <c r="L14" s="51" t="s">
        <v>71</v>
      </c>
      <c r="M14" s="51" t="s">
        <v>72</v>
      </c>
      <c r="N14" s="51" t="s">
        <v>73</v>
      </c>
      <c r="O14" s="60" t="s">
        <v>74</v>
      </c>
    </row>
    <row r="15">
      <c r="B15" s="31"/>
      <c r="C15" s="35" t="s">
        <v>56</v>
      </c>
      <c r="D15" s="61">
        <v>20000.0</v>
      </c>
      <c r="E15" s="61">
        <v>40000.0</v>
      </c>
      <c r="F15" s="61">
        <v>60000.0</v>
      </c>
      <c r="G15" s="61">
        <v>80000.0</v>
      </c>
      <c r="H15" s="61">
        <v>120000.0</v>
      </c>
      <c r="I15" s="61">
        <v>140000.0</v>
      </c>
      <c r="J15" s="61">
        <v>160000.0</v>
      </c>
      <c r="K15" s="61">
        <v>180000.0</v>
      </c>
      <c r="L15" s="61">
        <v>180000.0</v>
      </c>
      <c r="M15" s="61">
        <v>120000.0</v>
      </c>
      <c r="N15" s="61">
        <v>80000.0</v>
      </c>
      <c r="O15" s="62">
        <v>40000.0</v>
      </c>
    </row>
    <row r="16">
      <c r="B16" s="31"/>
      <c r="C16" s="35" t="s">
        <v>57</v>
      </c>
      <c r="D16" s="61">
        <f>D15</f>
        <v>20000</v>
      </c>
      <c r="E16" s="61">
        <f t="shared" ref="E16:O16" si="1">D16+E15</f>
        <v>60000</v>
      </c>
      <c r="F16" s="61">
        <f t="shared" si="1"/>
        <v>120000</v>
      </c>
      <c r="G16" s="61">
        <f t="shared" si="1"/>
        <v>200000</v>
      </c>
      <c r="H16" s="61">
        <f t="shared" si="1"/>
        <v>320000</v>
      </c>
      <c r="I16" s="61">
        <f t="shared" si="1"/>
        <v>460000</v>
      </c>
      <c r="J16" s="61">
        <f t="shared" si="1"/>
        <v>620000</v>
      </c>
      <c r="K16" s="61">
        <f t="shared" si="1"/>
        <v>800000</v>
      </c>
      <c r="L16" s="61">
        <f t="shared" si="1"/>
        <v>980000</v>
      </c>
      <c r="M16" s="61">
        <f t="shared" si="1"/>
        <v>1100000</v>
      </c>
      <c r="N16" s="61">
        <f t="shared" si="1"/>
        <v>1180000</v>
      </c>
      <c r="O16" s="62">
        <f t="shared" si="1"/>
        <v>1220000</v>
      </c>
    </row>
    <row r="17">
      <c r="B17" s="31"/>
      <c r="C17" s="35" t="s">
        <v>58</v>
      </c>
      <c r="D17" s="61">
        <v>20000.0</v>
      </c>
      <c r="E17" s="61">
        <v>20000.0</v>
      </c>
      <c r="F17" s="61">
        <v>40000.0</v>
      </c>
      <c r="G17" s="61">
        <v>60000.0</v>
      </c>
      <c r="H17" s="61">
        <v>80000.0</v>
      </c>
      <c r="I17" s="61">
        <v>100000.0</v>
      </c>
      <c r="J17" s="61">
        <v>150000.0</v>
      </c>
      <c r="K17" s="61"/>
      <c r="L17" s="61"/>
      <c r="M17" s="61"/>
      <c r="N17" s="61"/>
      <c r="O17" s="62"/>
    </row>
    <row r="18">
      <c r="B18" s="31"/>
      <c r="C18" s="35" t="s">
        <v>59</v>
      </c>
      <c r="D18" s="61">
        <f>D17</f>
        <v>20000</v>
      </c>
      <c r="E18" s="61">
        <f t="shared" ref="E18:J18" si="2">D18+E17</f>
        <v>40000</v>
      </c>
      <c r="F18" s="61">
        <f t="shared" si="2"/>
        <v>80000</v>
      </c>
      <c r="G18" s="61">
        <f t="shared" si="2"/>
        <v>140000</v>
      </c>
      <c r="H18" s="61">
        <f t="shared" si="2"/>
        <v>220000</v>
      </c>
      <c r="I18" s="61">
        <f t="shared" si="2"/>
        <v>320000</v>
      </c>
      <c r="J18" s="61">
        <f t="shared" si="2"/>
        <v>470000</v>
      </c>
      <c r="K18" s="61"/>
      <c r="L18" s="61"/>
      <c r="M18" s="61"/>
      <c r="N18" s="61"/>
      <c r="O18" s="62"/>
    </row>
    <row r="19">
      <c r="B19" s="31"/>
      <c r="O19" s="32"/>
    </row>
    <row r="20">
      <c r="B20" s="31"/>
      <c r="O20" s="32"/>
    </row>
    <row r="21" ht="15.75" customHeight="1">
      <c r="B21" s="31"/>
      <c r="C21" s="53"/>
      <c r="D21" s="54"/>
      <c r="E21" s="55"/>
      <c r="O21" s="32"/>
    </row>
    <row r="22" ht="15.75" customHeight="1">
      <c r="B22" s="31"/>
      <c r="O22" s="32"/>
    </row>
    <row r="23" ht="15.75" customHeight="1">
      <c r="B23" s="31"/>
      <c r="O23" s="32"/>
    </row>
    <row r="24" ht="15.75" customHeight="1">
      <c r="B24" s="31"/>
      <c r="O24" s="32"/>
    </row>
    <row r="25" ht="15.75" customHeight="1">
      <c r="B25" s="31"/>
      <c r="O25" s="32"/>
    </row>
    <row r="26" ht="15.75" customHeight="1">
      <c r="B26" s="31"/>
      <c r="O26" s="32"/>
    </row>
    <row r="27" ht="15.75" customHeight="1">
      <c r="B27" s="31"/>
      <c r="O27" s="32"/>
    </row>
    <row r="28" ht="15.75" customHeight="1">
      <c r="B28" s="31"/>
      <c r="O28" s="32"/>
    </row>
    <row r="29" ht="15.75" customHeight="1">
      <c r="B29" s="31"/>
      <c r="O29" s="32"/>
    </row>
    <row r="30" ht="15.75" customHeight="1">
      <c r="B30" s="31"/>
      <c r="O30" s="32"/>
    </row>
    <row r="31" ht="15.75" customHeight="1">
      <c r="B31" s="31"/>
      <c r="O31" s="32"/>
    </row>
    <row r="32" ht="15.75" customHeight="1">
      <c r="B32" s="31"/>
      <c r="O32" s="32"/>
    </row>
    <row r="33" ht="15.75" customHeight="1">
      <c r="B33" s="31"/>
      <c r="O33" s="32"/>
    </row>
    <row r="34" ht="15.75" customHeight="1">
      <c r="B34" s="31"/>
      <c r="O34" s="32"/>
    </row>
    <row r="35" ht="15.75" customHeight="1">
      <c r="B35" s="31"/>
      <c r="O35" s="32"/>
    </row>
    <row r="36" ht="15.75" customHeight="1">
      <c r="B36" s="31"/>
      <c r="O36" s="32"/>
    </row>
    <row r="37" ht="15.75" customHeight="1">
      <c r="B37" s="31"/>
      <c r="O37" s="32"/>
    </row>
    <row r="38" ht="15.75" customHeight="1">
      <c r="B38" s="31"/>
      <c r="O38" s="32"/>
    </row>
    <row r="39" ht="15.75" customHeight="1">
      <c r="B39" s="31"/>
      <c r="O39" s="32"/>
    </row>
    <row r="40" ht="15.75" customHeight="1">
      <c r="B40" s="31"/>
      <c r="O40" s="32"/>
    </row>
    <row r="41" ht="15.75" customHeight="1">
      <c r="B41" s="31"/>
      <c r="O41" s="32"/>
    </row>
    <row r="42" ht="15.75" customHeight="1">
      <c r="B42" s="31"/>
      <c r="O42" s="32"/>
    </row>
    <row r="43" ht="15.75" customHeight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M11:O11"/>
    <mergeCell ref="D13:O13"/>
    <mergeCell ref="C7:O7"/>
    <mergeCell ref="D9:O9"/>
    <mergeCell ref="D10:O10"/>
    <mergeCell ref="D11:E11"/>
    <mergeCell ref="F11:G11"/>
    <mergeCell ref="H11:J11"/>
    <mergeCell ref="K11:L11"/>
  </mergeCells>
  <printOptions/>
  <pageMargins bottom="0.75" footer="0.0" header="0.0" left="0.7" right="0.7" top="0.75"/>
  <pageSetup scale="3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2.86"/>
    <col customWidth="1" min="3" max="62" width="10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>
      <c r="A2" s="1"/>
      <c r="B2" s="2"/>
      <c r="C2" s="2"/>
      <c r="D2" s="3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>
      <c r="A5" s="4" t="s">
        <v>75</v>
      </c>
      <c r="B5" s="5"/>
      <c r="C5" s="5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>
      <c r="A6" s="8" t="s">
        <v>2</v>
      </c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>
      <c r="A7" s="10" t="s">
        <v>76</v>
      </c>
      <c r="B7" s="11"/>
      <c r="C7" s="12">
        <v>1.0</v>
      </c>
      <c r="D7" s="12">
        <v>2.0</v>
      </c>
      <c r="E7" s="12">
        <v>3.0</v>
      </c>
      <c r="F7" s="12">
        <v>4.0</v>
      </c>
      <c r="G7" s="12">
        <v>5.0</v>
      </c>
      <c r="H7" s="12">
        <v>6.0</v>
      </c>
      <c r="I7" s="12">
        <v>7.0</v>
      </c>
      <c r="J7" s="12">
        <v>8.0</v>
      </c>
      <c r="K7" s="12">
        <v>9.0</v>
      </c>
      <c r="L7" s="12">
        <v>10.0</v>
      </c>
      <c r="M7" s="12">
        <v>11.0</v>
      </c>
      <c r="N7" s="12">
        <v>12.0</v>
      </c>
      <c r="O7" s="12">
        <v>13.0</v>
      </c>
      <c r="P7" s="12">
        <v>14.0</v>
      </c>
      <c r="Q7" s="12">
        <v>15.0</v>
      </c>
      <c r="R7" s="12">
        <v>16.0</v>
      </c>
      <c r="S7" s="12">
        <v>17.0</v>
      </c>
      <c r="T7" s="12">
        <v>18.0</v>
      </c>
      <c r="U7" s="12">
        <v>19.0</v>
      </c>
      <c r="V7" s="12">
        <v>20.0</v>
      </c>
      <c r="W7" s="12">
        <v>21.0</v>
      </c>
      <c r="X7" s="12">
        <v>22.0</v>
      </c>
      <c r="Y7" s="12">
        <v>23.0</v>
      </c>
      <c r="Z7" s="12">
        <v>24.0</v>
      </c>
      <c r="AA7" s="12">
        <v>25.0</v>
      </c>
      <c r="AB7" s="12">
        <v>26.0</v>
      </c>
      <c r="AC7" s="12">
        <v>27.0</v>
      </c>
      <c r="AD7" s="12">
        <v>28.0</v>
      </c>
      <c r="AE7" s="12">
        <v>29.0</v>
      </c>
      <c r="AF7" s="12">
        <v>30.0</v>
      </c>
      <c r="AG7" s="12">
        <v>31.0</v>
      </c>
      <c r="AH7" s="12">
        <v>32.0</v>
      </c>
      <c r="AI7" s="12">
        <v>33.0</v>
      </c>
      <c r="AJ7" s="12">
        <v>34.0</v>
      </c>
      <c r="AK7" s="12">
        <v>35.0</v>
      </c>
      <c r="AL7" s="12">
        <v>36.0</v>
      </c>
      <c r="AM7" s="12">
        <v>37.0</v>
      </c>
      <c r="AN7" s="12">
        <v>38.0</v>
      </c>
      <c r="AO7" s="12">
        <v>39.0</v>
      </c>
      <c r="AP7" s="12">
        <v>40.0</v>
      </c>
      <c r="AQ7" s="12">
        <v>41.0</v>
      </c>
      <c r="AR7" s="12">
        <v>42.0</v>
      </c>
      <c r="AS7" s="12">
        <v>43.0</v>
      </c>
      <c r="AT7" s="12">
        <v>44.0</v>
      </c>
      <c r="AU7" s="12">
        <v>45.0</v>
      </c>
      <c r="AV7" s="12">
        <v>46.0</v>
      </c>
      <c r="AW7" s="12">
        <v>47.0</v>
      </c>
      <c r="AX7" s="12">
        <v>48.0</v>
      </c>
      <c r="AY7" s="12">
        <v>49.0</v>
      </c>
      <c r="AZ7" s="12">
        <v>50.0</v>
      </c>
      <c r="BA7" s="12">
        <v>51.0</v>
      </c>
      <c r="BB7" s="12">
        <v>52.0</v>
      </c>
      <c r="BC7" s="12">
        <v>53.0</v>
      </c>
      <c r="BD7" s="12">
        <v>54.0</v>
      </c>
      <c r="BE7" s="12">
        <v>55.0</v>
      </c>
      <c r="BF7" s="12">
        <v>56.0</v>
      </c>
      <c r="BG7" s="12">
        <v>57.0</v>
      </c>
      <c r="BH7" s="12">
        <v>58.0</v>
      </c>
      <c r="BI7" s="12">
        <v>59.0</v>
      </c>
      <c r="BJ7" s="12">
        <v>60.0</v>
      </c>
    </row>
    <row r="8">
      <c r="A8" s="13" t="s">
        <v>77</v>
      </c>
      <c r="B8" s="11"/>
      <c r="C8" s="12">
        <v>10000.0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>
      <c r="A9" s="14" t="s">
        <v>6</v>
      </c>
      <c r="B9" s="15" t="s">
        <v>7</v>
      </c>
      <c r="C9" s="21"/>
      <c r="D9" s="22"/>
      <c r="E9" s="21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</row>
    <row r="10">
      <c r="A10" s="19" t="s">
        <v>8</v>
      </c>
      <c r="B10" s="20" t="s">
        <v>9</v>
      </c>
      <c r="C10" s="21"/>
      <c r="D10" s="22"/>
      <c r="E10" s="21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</row>
    <row r="11">
      <c r="A11" s="19" t="s">
        <v>10</v>
      </c>
      <c r="B11" s="20" t="s">
        <v>11</v>
      </c>
      <c r="C11" s="21"/>
      <c r="D11" s="22"/>
      <c r="E11" s="21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</row>
    <row r="12">
      <c r="A12" s="19" t="s">
        <v>12</v>
      </c>
      <c r="B12" s="20" t="s">
        <v>13</v>
      </c>
      <c r="C12" s="21"/>
      <c r="D12" s="22"/>
      <c r="E12" s="21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>
      <c r="A13" s="14" t="s">
        <v>14</v>
      </c>
      <c r="B13" s="15" t="s">
        <v>15</v>
      </c>
      <c r="C13" s="21"/>
      <c r="D13" s="22"/>
      <c r="E13" s="21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</row>
    <row r="14">
      <c r="A14" s="19" t="s">
        <v>16</v>
      </c>
      <c r="B14" s="20" t="s">
        <v>17</v>
      </c>
      <c r="C14" s="21"/>
      <c r="D14" s="22"/>
      <c r="E14" s="21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>
      <c r="A15" s="19" t="s">
        <v>18</v>
      </c>
      <c r="B15" s="20" t="s">
        <v>19</v>
      </c>
      <c r="C15" s="21"/>
      <c r="D15" s="22"/>
      <c r="E15" s="21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</row>
    <row r="16">
      <c r="A16" s="19" t="s">
        <v>20</v>
      </c>
      <c r="B16" s="20" t="s">
        <v>21</v>
      </c>
      <c r="C16" s="21"/>
      <c r="D16" s="22"/>
      <c r="E16" s="21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>
      <c r="A17" s="19" t="s">
        <v>78</v>
      </c>
      <c r="B17" s="20"/>
      <c r="C17" s="21"/>
      <c r="D17" s="22"/>
      <c r="E17" s="2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</row>
    <row r="18">
      <c r="A18" s="19" t="s">
        <v>79</v>
      </c>
      <c r="B18" s="20"/>
      <c r="C18" s="21"/>
      <c r="D18" s="22"/>
      <c r="E18" s="2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</row>
    <row r="19">
      <c r="A19" s="19" t="s">
        <v>80</v>
      </c>
      <c r="B19" s="20"/>
      <c r="C19" s="21"/>
      <c r="D19" s="22"/>
      <c r="E19" s="21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</row>
    <row r="20">
      <c r="A20" s="19" t="s">
        <v>81</v>
      </c>
      <c r="B20" s="20"/>
      <c r="C20" s="21"/>
      <c r="D20" s="22"/>
      <c r="E20" s="21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</row>
    <row r="21" ht="15.75" customHeight="1">
      <c r="A21" s="13" t="s">
        <v>82</v>
      </c>
      <c r="B21" s="11"/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</row>
    <row r="22" ht="15.75" customHeight="1">
      <c r="A22" s="19" t="s">
        <v>23</v>
      </c>
      <c r="B22" s="20" t="s">
        <v>83</v>
      </c>
      <c r="C22" s="21"/>
      <c r="D22" s="22"/>
      <c r="E22" s="2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</row>
    <row r="23" ht="15.75" customHeight="1">
      <c r="A23" s="19" t="s">
        <v>84</v>
      </c>
      <c r="B23" s="20"/>
      <c r="C23" s="21"/>
      <c r="D23" s="22"/>
      <c r="E23" s="21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</row>
    <row r="24" ht="15.75" customHeight="1">
      <c r="A24" s="19" t="s">
        <v>85</v>
      </c>
      <c r="B24" s="20"/>
      <c r="C24" s="21"/>
      <c r="D24" s="22"/>
      <c r="E24" s="21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</row>
    <row r="25" ht="15.75" customHeight="1">
      <c r="A25" s="19" t="s">
        <v>86</v>
      </c>
      <c r="B25" s="20"/>
      <c r="C25" s="21"/>
      <c r="D25" s="22"/>
      <c r="E25" s="21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</row>
    <row r="26" ht="15.75" customHeight="1">
      <c r="A26" s="19" t="s">
        <v>87</v>
      </c>
      <c r="B26" s="20"/>
      <c r="C26" s="21"/>
      <c r="D26" s="22"/>
      <c r="E26" s="21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</row>
    <row r="27" ht="15.75" customHeight="1">
      <c r="A27" s="19" t="s">
        <v>88</v>
      </c>
      <c r="B27" s="20"/>
      <c r="C27" s="21"/>
      <c r="D27" s="22"/>
      <c r="E27" s="21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</row>
    <row r="28" ht="15.75" customHeight="1">
      <c r="A28" s="19" t="s">
        <v>31</v>
      </c>
      <c r="B28" s="20"/>
      <c r="C28" s="21"/>
      <c r="D28" s="22"/>
      <c r="E28" s="21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</row>
    <row r="29" ht="15.75" customHeight="1">
      <c r="A29" s="19" t="s">
        <v>89</v>
      </c>
      <c r="B29" s="20"/>
      <c r="C29" s="21"/>
      <c r="D29" s="22"/>
      <c r="E29" s="21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</row>
    <row r="30" ht="15.75" customHeight="1">
      <c r="A30" s="19" t="s">
        <v>90</v>
      </c>
      <c r="B30" s="20"/>
      <c r="C30" s="21"/>
      <c r="D30" s="22"/>
      <c r="E30" s="21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</row>
    <row r="31" ht="15.75" customHeight="1">
      <c r="A31" s="19" t="s">
        <v>91</v>
      </c>
      <c r="B31" s="20"/>
      <c r="C31" s="21"/>
      <c r="D31" s="22"/>
      <c r="E31" s="21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</row>
    <row r="32" ht="15.75" customHeight="1">
      <c r="A32" s="19" t="s">
        <v>92</v>
      </c>
      <c r="B32" s="20"/>
      <c r="C32" s="21"/>
      <c r="D32" s="22"/>
      <c r="E32" s="21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</row>
    <row r="33" ht="15.75" customHeight="1">
      <c r="A33" s="19" t="s">
        <v>93</v>
      </c>
      <c r="B33" s="20"/>
      <c r="C33" s="21"/>
      <c r="D33" s="22"/>
      <c r="E33" s="2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</row>
    <row r="34" ht="15.75" customHeight="1">
      <c r="A34" s="13" t="s">
        <v>94</v>
      </c>
      <c r="B34" s="11"/>
      <c r="C34" s="24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ht="15.75" customHeight="1">
      <c r="A35" s="19" t="s">
        <v>23</v>
      </c>
      <c r="B35" s="20" t="s">
        <v>83</v>
      </c>
      <c r="C35" s="21"/>
      <c r="D35" s="22"/>
      <c r="E35" s="21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</row>
    <row r="36" ht="15.75" customHeight="1">
      <c r="A36" s="19" t="s">
        <v>84</v>
      </c>
      <c r="B36" s="20"/>
      <c r="C36" s="21"/>
      <c r="D36" s="22"/>
      <c r="E36" s="21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ht="15.75" customHeight="1">
      <c r="A37" s="19" t="s">
        <v>85</v>
      </c>
      <c r="B37" s="20"/>
      <c r="C37" s="21"/>
      <c r="D37" s="22"/>
      <c r="E37" s="21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</row>
    <row r="38" ht="15.75" customHeight="1">
      <c r="A38" s="19" t="s">
        <v>86</v>
      </c>
      <c r="B38" s="20"/>
      <c r="C38" s="21"/>
      <c r="D38" s="22"/>
      <c r="E38" s="21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ht="15.75" customHeight="1">
      <c r="A39" s="19" t="s">
        <v>87</v>
      </c>
      <c r="B39" s="20"/>
      <c r="C39" s="21"/>
      <c r="D39" s="22"/>
      <c r="E39" s="21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</row>
    <row r="40" ht="15.75" customHeight="1">
      <c r="A40" s="19" t="s">
        <v>88</v>
      </c>
      <c r="B40" s="20"/>
      <c r="C40" s="21"/>
      <c r="D40" s="22"/>
      <c r="E40" s="2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ht="15.75" customHeight="1">
      <c r="A41" s="19" t="s">
        <v>31</v>
      </c>
      <c r="B41" s="20"/>
      <c r="C41" s="21"/>
      <c r="D41" s="22"/>
      <c r="E41" s="2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</row>
    <row r="42" ht="15.75" customHeight="1">
      <c r="A42" s="19" t="s">
        <v>89</v>
      </c>
      <c r="B42" s="20"/>
      <c r="C42" s="21"/>
      <c r="D42" s="22"/>
      <c r="E42" s="21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</row>
    <row r="43" ht="15.75" customHeight="1">
      <c r="A43" s="19" t="s">
        <v>90</v>
      </c>
      <c r="B43" s="20"/>
      <c r="C43" s="21"/>
      <c r="D43" s="22"/>
      <c r="E43" s="2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</row>
    <row r="44" ht="15.75" customHeight="1">
      <c r="A44" s="19" t="s">
        <v>91</v>
      </c>
      <c r="B44" s="20"/>
      <c r="C44" s="21"/>
      <c r="D44" s="22"/>
      <c r="E44" s="2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</row>
    <row r="45" ht="15.75" customHeight="1">
      <c r="A45" s="19" t="s">
        <v>92</v>
      </c>
      <c r="B45" s="20"/>
      <c r="C45" s="63"/>
      <c r="D45" s="64"/>
      <c r="E45" s="63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</row>
    <row r="46" ht="15.75" customHeight="1">
      <c r="A46" s="19" t="s">
        <v>93</v>
      </c>
      <c r="B46" s="66"/>
      <c r="C46" s="67"/>
      <c r="D46" s="68"/>
      <c r="E46" s="67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</row>
    <row r="47" ht="15.75" customHeight="1">
      <c r="A47" s="1"/>
      <c r="B47" s="26" t="s">
        <v>44</v>
      </c>
      <c r="C47" s="27">
        <f t="shared" ref="C47:BJ47" si="1">SUM(C9:C46)</f>
        <v>0</v>
      </c>
      <c r="D47" s="27">
        <f t="shared" si="1"/>
        <v>0</v>
      </c>
      <c r="E47" s="27">
        <f t="shared" si="1"/>
        <v>0</v>
      </c>
      <c r="F47" s="27">
        <f t="shared" si="1"/>
        <v>0</v>
      </c>
      <c r="G47" s="27">
        <f t="shared" si="1"/>
        <v>0</v>
      </c>
      <c r="H47" s="27">
        <f t="shared" si="1"/>
        <v>0</v>
      </c>
      <c r="I47" s="27">
        <f t="shared" si="1"/>
        <v>0</v>
      </c>
      <c r="J47" s="27">
        <f t="shared" si="1"/>
        <v>0</v>
      </c>
      <c r="K47" s="27">
        <f t="shared" si="1"/>
        <v>0</v>
      </c>
      <c r="L47" s="27">
        <f t="shared" si="1"/>
        <v>0</v>
      </c>
      <c r="M47" s="27">
        <f t="shared" si="1"/>
        <v>0</v>
      </c>
      <c r="N47" s="27">
        <f t="shared" si="1"/>
        <v>0</v>
      </c>
      <c r="O47" s="27">
        <f t="shared" si="1"/>
        <v>0</v>
      </c>
      <c r="P47" s="27">
        <f t="shared" si="1"/>
        <v>0</v>
      </c>
      <c r="Q47" s="27">
        <f t="shared" si="1"/>
        <v>0</v>
      </c>
      <c r="R47" s="27">
        <f t="shared" si="1"/>
        <v>0</v>
      </c>
      <c r="S47" s="27">
        <f t="shared" si="1"/>
        <v>0</v>
      </c>
      <c r="T47" s="27">
        <f t="shared" si="1"/>
        <v>0</v>
      </c>
      <c r="U47" s="27">
        <f t="shared" si="1"/>
        <v>0</v>
      </c>
      <c r="V47" s="27">
        <f t="shared" si="1"/>
        <v>0</v>
      </c>
      <c r="W47" s="27">
        <f t="shared" si="1"/>
        <v>0</v>
      </c>
      <c r="X47" s="27">
        <f t="shared" si="1"/>
        <v>0</v>
      </c>
      <c r="Y47" s="27">
        <f t="shared" si="1"/>
        <v>0</v>
      </c>
      <c r="Z47" s="27">
        <f t="shared" si="1"/>
        <v>0</v>
      </c>
      <c r="AA47" s="27">
        <f t="shared" si="1"/>
        <v>0</v>
      </c>
      <c r="AB47" s="27">
        <f t="shared" si="1"/>
        <v>0</v>
      </c>
      <c r="AC47" s="27">
        <f t="shared" si="1"/>
        <v>0</v>
      </c>
      <c r="AD47" s="27">
        <f t="shared" si="1"/>
        <v>0</v>
      </c>
      <c r="AE47" s="27">
        <f t="shared" si="1"/>
        <v>0</v>
      </c>
      <c r="AF47" s="27">
        <f t="shared" si="1"/>
        <v>0</v>
      </c>
      <c r="AG47" s="27">
        <f t="shared" si="1"/>
        <v>0</v>
      </c>
      <c r="AH47" s="27">
        <f t="shared" si="1"/>
        <v>0</v>
      </c>
      <c r="AI47" s="27">
        <f t="shared" si="1"/>
        <v>0</v>
      </c>
      <c r="AJ47" s="27">
        <f t="shared" si="1"/>
        <v>0</v>
      </c>
      <c r="AK47" s="27">
        <f t="shared" si="1"/>
        <v>0</v>
      </c>
      <c r="AL47" s="27">
        <f t="shared" si="1"/>
        <v>0</v>
      </c>
      <c r="AM47" s="27">
        <f t="shared" si="1"/>
        <v>0</v>
      </c>
      <c r="AN47" s="27">
        <f t="shared" si="1"/>
        <v>0</v>
      </c>
      <c r="AO47" s="27">
        <f t="shared" si="1"/>
        <v>0</v>
      </c>
      <c r="AP47" s="27">
        <f t="shared" si="1"/>
        <v>0</v>
      </c>
      <c r="AQ47" s="27">
        <f t="shared" si="1"/>
        <v>0</v>
      </c>
      <c r="AR47" s="27">
        <f t="shared" si="1"/>
        <v>0</v>
      </c>
      <c r="AS47" s="27">
        <f t="shared" si="1"/>
        <v>0</v>
      </c>
      <c r="AT47" s="27">
        <f t="shared" si="1"/>
        <v>0</v>
      </c>
      <c r="AU47" s="27">
        <f t="shared" si="1"/>
        <v>0</v>
      </c>
      <c r="AV47" s="27">
        <f t="shared" si="1"/>
        <v>0</v>
      </c>
      <c r="AW47" s="27">
        <f t="shared" si="1"/>
        <v>0</v>
      </c>
      <c r="AX47" s="27">
        <f t="shared" si="1"/>
        <v>0</v>
      </c>
      <c r="AY47" s="27">
        <f t="shared" si="1"/>
        <v>0</v>
      </c>
      <c r="AZ47" s="27">
        <f t="shared" si="1"/>
        <v>0</v>
      </c>
      <c r="BA47" s="27">
        <f t="shared" si="1"/>
        <v>0</v>
      </c>
      <c r="BB47" s="27">
        <f t="shared" si="1"/>
        <v>0</v>
      </c>
      <c r="BC47" s="27">
        <f t="shared" si="1"/>
        <v>0</v>
      </c>
      <c r="BD47" s="27">
        <f t="shared" si="1"/>
        <v>0</v>
      </c>
      <c r="BE47" s="27">
        <f t="shared" si="1"/>
        <v>0</v>
      </c>
      <c r="BF47" s="27">
        <f t="shared" si="1"/>
        <v>0</v>
      </c>
      <c r="BG47" s="27">
        <f t="shared" si="1"/>
        <v>0</v>
      </c>
      <c r="BH47" s="27">
        <f t="shared" si="1"/>
        <v>0</v>
      </c>
      <c r="BI47" s="27">
        <f t="shared" si="1"/>
        <v>0</v>
      </c>
      <c r="BJ47" s="27">
        <f t="shared" si="1"/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D5"/>
    <mergeCell ref="A7:B7"/>
    <mergeCell ref="A8:B8"/>
    <mergeCell ref="A21:B21"/>
    <mergeCell ref="A34:B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86"/>
    <col customWidth="1" min="8" max="9" width="13.71"/>
    <col customWidth="1" min="10" max="10" width="13.43"/>
    <col customWidth="1" min="11" max="11" width="13.0"/>
    <col customWidth="1" min="12" max="12" width="14.29"/>
    <col customWidth="1" min="13" max="13" width="15.43"/>
    <col customWidth="1" min="14" max="26" width="10.71"/>
  </cols>
  <sheetData>
    <row r="1">
      <c r="M1" s="32"/>
    </row>
    <row r="2">
      <c r="M2" s="32"/>
    </row>
    <row r="3">
      <c r="M3" s="32"/>
    </row>
    <row r="4">
      <c r="M4" s="32"/>
    </row>
    <row r="5">
      <c r="A5" s="33" t="s">
        <v>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4"/>
    </row>
    <row r="6">
      <c r="M6" s="32"/>
    </row>
    <row r="7">
      <c r="A7" s="35" t="s">
        <v>46</v>
      </c>
      <c r="B7" s="36" t="s">
        <v>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8"/>
    </row>
    <row r="8">
      <c r="A8" s="35" t="s">
        <v>47</v>
      </c>
      <c r="B8" s="39" t="s">
        <v>48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</row>
    <row r="9">
      <c r="A9" s="35" t="s">
        <v>49</v>
      </c>
      <c r="B9" s="42" t="s">
        <v>50</v>
      </c>
      <c r="C9" s="43"/>
      <c r="D9" s="44" t="s">
        <v>51</v>
      </c>
      <c r="E9" s="43"/>
      <c r="F9" s="39" t="s">
        <v>52</v>
      </c>
      <c r="G9" s="40"/>
      <c r="H9" s="43"/>
      <c r="I9" s="44" t="s">
        <v>53</v>
      </c>
      <c r="J9" s="43"/>
      <c r="K9" s="42" t="s">
        <v>54</v>
      </c>
      <c r="L9" s="40"/>
      <c r="M9" s="41"/>
    </row>
    <row r="10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>
      <c r="A11" s="48"/>
      <c r="B11" s="49" t="s">
        <v>55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/>
    </row>
    <row r="12">
      <c r="A12" s="50"/>
      <c r="B12" s="51">
        <v>1.0</v>
      </c>
      <c r="C12" s="51">
        <v>2.0</v>
      </c>
      <c r="D12" s="51">
        <v>3.0</v>
      </c>
      <c r="E12" s="51">
        <v>4.0</v>
      </c>
      <c r="F12" s="51">
        <v>5.0</v>
      </c>
      <c r="G12" s="51">
        <v>6.0</v>
      </c>
      <c r="H12" s="51">
        <v>7.0</v>
      </c>
      <c r="I12" s="51">
        <v>8.0</v>
      </c>
      <c r="J12" s="51">
        <v>9.0</v>
      </c>
      <c r="K12" s="51">
        <v>10.0</v>
      </c>
      <c r="L12" s="51">
        <v>11.0</v>
      </c>
      <c r="M12" s="51">
        <v>12.0</v>
      </c>
    </row>
    <row r="13">
      <c r="A13" s="35" t="s">
        <v>56</v>
      </c>
      <c r="B13" s="52">
        <v>12000.0</v>
      </c>
      <c r="C13" s="52">
        <v>12000.0</v>
      </c>
      <c r="D13" s="52">
        <v>18000.0</v>
      </c>
      <c r="E13" s="52">
        <v>18000.0</v>
      </c>
      <c r="F13" s="52">
        <v>33000.0</v>
      </c>
      <c r="G13" s="52">
        <v>33000.0</v>
      </c>
      <c r="H13" s="52">
        <v>38000.0</v>
      </c>
      <c r="I13" s="52">
        <v>40000.0</v>
      </c>
      <c r="J13" s="52">
        <v>27000.0</v>
      </c>
      <c r="K13" s="52">
        <v>27000.0</v>
      </c>
      <c r="L13" s="52">
        <v>21000.0</v>
      </c>
      <c r="M13" s="52">
        <v>21000.0</v>
      </c>
    </row>
    <row r="14">
      <c r="A14" s="35" t="s">
        <v>57</v>
      </c>
      <c r="B14" s="52">
        <f>B13</f>
        <v>12000</v>
      </c>
      <c r="C14" s="52">
        <f t="shared" ref="C14:M14" si="1">C13+B14</f>
        <v>24000</v>
      </c>
      <c r="D14" s="52">
        <f t="shared" si="1"/>
        <v>42000</v>
      </c>
      <c r="E14" s="52">
        <f t="shared" si="1"/>
        <v>60000</v>
      </c>
      <c r="F14" s="52">
        <f t="shared" si="1"/>
        <v>93000</v>
      </c>
      <c r="G14" s="52">
        <f t="shared" si="1"/>
        <v>126000</v>
      </c>
      <c r="H14" s="52">
        <f t="shared" si="1"/>
        <v>164000</v>
      </c>
      <c r="I14" s="52">
        <f t="shared" si="1"/>
        <v>204000</v>
      </c>
      <c r="J14" s="52">
        <f t="shared" si="1"/>
        <v>231000</v>
      </c>
      <c r="K14" s="52">
        <f t="shared" si="1"/>
        <v>258000</v>
      </c>
      <c r="L14" s="52">
        <f t="shared" si="1"/>
        <v>279000</v>
      </c>
      <c r="M14" s="52">
        <f t="shared" si="1"/>
        <v>300000</v>
      </c>
    </row>
    <row r="15">
      <c r="A15" s="35" t="s">
        <v>58</v>
      </c>
      <c r="B15" s="52">
        <f t="shared" ref="B15:C15" si="2">B13</f>
        <v>12000</v>
      </c>
      <c r="C15" s="52">
        <f t="shared" si="2"/>
        <v>12000</v>
      </c>
      <c r="D15" s="52">
        <v>0.0</v>
      </c>
      <c r="E15" s="52">
        <v>0.0</v>
      </c>
      <c r="F15" s="52" t="str">
        <f>'Detalle de Costos'!E28</f>
        <v/>
      </c>
      <c r="G15" s="52" t="str">
        <f>'Detalle de Costos'!F28</f>
        <v/>
      </c>
      <c r="H15" s="52" t="str">
        <f>'Detalle de Costos'!G28</f>
        <v/>
      </c>
      <c r="I15" s="52" t="str">
        <f>'Detalle de Costos'!H28</f>
        <v/>
      </c>
      <c r="J15" s="52" t="str">
        <f>'Detalle de Costos'!I28</f>
        <v/>
      </c>
      <c r="K15" s="52" t="str">
        <f>'Detalle de Costos'!J28</f>
        <v/>
      </c>
      <c r="L15" s="52" t="str">
        <f>'Detalle de Costos'!K28</f>
        <v/>
      </c>
      <c r="M15" s="52">
        <v>0.0</v>
      </c>
    </row>
    <row r="16">
      <c r="A16" s="35" t="s">
        <v>59</v>
      </c>
      <c r="B16" s="52">
        <f>B15</f>
        <v>12000</v>
      </c>
      <c r="C16" s="52">
        <f>B16+C15</f>
        <v>24000</v>
      </c>
      <c r="D16" s="70">
        <v>0.0</v>
      </c>
      <c r="E16" s="70">
        <v>0.0</v>
      </c>
      <c r="F16" s="70">
        <v>0.0</v>
      </c>
      <c r="G16" s="52">
        <f t="shared" ref="G16:M16" si="3">G15+F15</f>
        <v>0</v>
      </c>
      <c r="H16" s="52">
        <f t="shared" si="3"/>
        <v>0</v>
      </c>
      <c r="I16" s="52">
        <f t="shared" si="3"/>
        <v>0</v>
      </c>
      <c r="J16" s="52">
        <f t="shared" si="3"/>
        <v>0</v>
      </c>
      <c r="K16" s="52">
        <f t="shared" si="3"/>
        <v>0</v>
      </c>
      <c r="L16" s="52">
        <f t="shared" si="3"/>
        <v>0</v>
      </c>
      <c r="M16" s="52">
        <f t="shared" si="3"/>
        <v>0</v>
      </c>
    </row>
    <row r="17">
      <c r="M17" s="32"/>
    </row>
    <row r="18">
      <c r="M18" s="32"/>
    </row>
    <row r="19">
      <c r="A19" s="53"/>
      <c r="B19" s="54"/>
      <c r="C19" s="55"/>
      <c r="M19" s="32"/>
    </row>
    <row r="20">
      <c r="M20" s="32"/>
    </row>
    <row r="21" ht="15.75" customHeight="1">
      <c r="M21" s="32"/>
    </row>
    <row r="22" ht="15.75" customHeight="1">
      <c r="M22" s="32"/>
    </row>
    <row r="23" ht="15.75" customHeight="1">
      <c r="M23" s="32"/>
    </row>
    <row r="24" ht="15.75" customHeight="1">
      <c r="M24" s="32"/>
    </row>
    <row r="25" ht="15.75" customHeight="1">
      <c r="M25" s="32"/>
    </row>
    <row r="26" ht="15.75" customHeight="1">
      <c r="M26" s="32"/>
    </row>
    <row r="27" ht="15.75" customHeight="1">
      <c r="M27" s="32"/>
    </row>
    <row r="28" ht="15.75" customHeight="1">
      <c r="M28" s="32"/>
    </row>
    <row r="29" ht="15.75" customHeight="1">
      <c r="M29" s="32"/>
    </row>
    <row r="30" ht="15.75" customHeight="1">
      <c r="M30" s="32"/>
    </row>
    <row r="31" ht="15.75" customHeight="1">
      <c r="M31" s="32"/>
    </row>
    <row r="32" ht="15.75" customHeight="1">
      <c r="M32" s="32"/>
    </row>
    <row r="33" ht="15.75" customHeight="1">
      <c r="M33" s="32"/>
    </row>
    <row r="34" ht="15.75" customHeight="1">
      <c r="M34" s="32"/>
    </row>
    <row r="35" ht="15.75" customHeight="1">
      <c r="M35" s="32"/>
    </row>
    <row r="36" ht="15.75" customHeight="1">
      <c r="M36" s="3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M5"/>
    <mergeCell ref="B8:M8"/>
    <mergeCell ref="B9:C9"/>
    <mergeCell ref="D9:E9"/>
    <mergeCell ref="F9:H9"/>
    <mergeCell ref="I9:J9"/>
    <mergeCell ref="K9:M9"/>
    <mergeCell ref="B11:M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3" width="44.71"/>
    <col customWidth="1" min="4" max="4" width="16.71"/>
    <col customWidth="1" min="5" max="5" width="16.14"/>
    <col customWidth="1" min="6" max="6" width="17.43"/>
    <col customWidth="1" min="7" max="7" width="14.86"/>
    <col customWidth="1" min="8" max="8" width="14.43"/>
    <col customWidth="1" min="9" max="9" width="16.29"/>
    <col customWidth="1" min="10" max="12" width="16.43"/>
    <col customWidth="1" min="13" max="14" width="15.43"/>
    <col customWidth="1" min="15" max="15" width="16.71"/>
    <col customWidth="1" min="16" max="26" width="11.43"/>
  </cols>
  <sheetData>
    <row r="2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B3" s="31"/>
      <c r="O3" s="32"/>
    </row>
    <row r="4">
      <c r="B4" s="31"/>
      <c r="O4" s="32"/>
    </row>
    <row r="5">
      <c r="B5" s="31"/>
      <c r="O5" s="32"/>
    </row>
    <row r="6">
      <c r="B6" s="31"/>
      <c r="O6" s="32"/>
    </row>
    <row r="7">
      <c r="B7" s="31"/>
      <c r="C7" s="33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4"/>
    </row>
    <row r="8">
      <c r="B8" s="31"/>
      <c r="O8" s="32"/>
    </row>
    <row r="9">
      <c r="B9" s="31"/>
      <c r="C9" s="35" t="s">
        <v>46</v>
      </c>
      <c r="D9" s="36" t="s">
        <v>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>
      <c r="B10" s="31"/>
      <c r="C10" s="35" t="s">
        <v>47</v>
      </c>
      <c r="D10" s="39" t="s">
        <v>48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>
      <c r="B11" s="31"/>
      <c r="C11" s="35" t="s">
        <v>49</v>
      </c>
      <c r="D11" s="42" t="s">
        <v>50</v>
      </c>
      <c r="E11" s="43"/>
      <c r="F11" s="44" t="s">
        <v>51</v>
      </c>
      <c r="G11" s="43"/>
      <c r="H11" s="39" t="s">
        <v>52</v>
      </c>
      <c r="I11" s="40"/>
      <c r="J11" s="43"/>
      <c r="K11" s="44" t="s">
        <v>53</v>
      </c>
      <c r="L11" s="43"/>
      <c r="M11" s="42" t="s">
        <v>54</v>
      </c>
      <c r="N11" s="40"/>
      <c r="O11" s="41"/>
    </row>
    <row r="12">
      <c r="B12" s="3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</row>
    <row r="13">
      <c r="B13" s="31"/>
      <c r="C13" s="48"/>
      <c r="D13" s="49" t="s">
        <v>55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>
      <c r="B14" s="31"/>
      <c r="C14" s="50"/>
      <c r="D14" s="51">
        <v>1.0</v>
      </c>
      <c r="E14" s="51">
        <v>2.0</v>
      </c>
      <c r="F14" s="51">
        <v>3.0</v>
      </c>
      <c r="G14" s="51">
        <v>4.0</v>
      </c>
      <c r="H14" s="51">
        <v>5.0</v>
      </c>
      <c r="I14" s="51">
        <v>6.0</v>
      </c>
      <c r="J14" s="51">
        <v>7.0</v>
      </c>
      <c r="K14" s="51">
        <v>8.0</v>
      </c>
      <c r="L14" s="51">
        <v>9.0</v>
      </c>
      <c r="M14" s="51">
        <v>10.0</v>
      </c>
      <c r="N14" s="51">
        <v>11.0</v>
      </c>
      <c r="O14" s="51">
        <v>12.0</v>
      </c>
    </row>
    <row r="15">
      <c r="B15" s="31"/>
      <c r="C15" s="35" t="s">
        <v>56</v>
      </c>
      <c r="D15" s="52">
        <f>'Detalle de Costos'!C9</f>
        <v>12000</v>
      </c>
      <c r="E15" s="52">
        <f>'Detalle de Costos'!D9</f>
        <v>12000</v>
      </c>
      <c r="F15" s="52">
        <f>'Detalle de Costos'!E9</f>
        <v>18000</v>
      </c>
      <c r="G15" s="52">
        <f>'Detalle de Costos'!F9</f>
        <v>18000</v>
      </c>
      <c r="H15" s="52">
        <f>'Detalle de Costos'!G9</f>
        <v>33000</v>
      </c>
      <c r="I15" s="52">
        <f>'Detalle de Costos'!H9</f>
        <v>33000</v>
      </c>
      <c r="J15" s="52">
        <f>'Detalle de Costos'!I9</f>
        <v>38000</v>
      </c>
      <c r="K15" s="52">
        <f>'Detalle de Costos'!J9</f>
        <v>40000</v>
      </c>
      <c r="L15" s="52">
        <f>'Detalle de Costos'!K9</f>
        <v>27000</v>
      </c>
      <c r="M15" s="52">
        <f>'Detalle de Costos'!L9</f>
        <v>27000</v>
      </c>
      <c r="N15" s="52">
        <f>'Detalle de Costos'!M9</f>
        <v>21000</v>
      </c>
      <c r="O15" s="52">
        <f>'Detalle de Costos'!N9</f>
        <v>21000</v>
      </c>
    </row>
    <row r="16">
      <c r="B16" s="31"/>
      <c r="C16" s="35" t="s">
        <v>57</v>
      </c>
      <c r="D16" s="52">
        <f>D15</f>
        <v>12000</v>
      </c>
      <c r="E16" s="52">
        <f t="shared" ref="E16:O16" si="1">E15+D16</f>
        <v>24000</v>
      </c>
      <c r="F16" s="52">
        <f t="shared" si="1"/>
        <v>42000</v>
      </c>
      <c r="G16" s="52">
        <f t="shared" si="1"/>
        <v>60000</v>
      </c>
      <c r="H16" s="52">
        <f t="shared" si="1"/>
        <v>93000</v>
      </c>
      <c r="I16" s="52">
        <f t="shared" si="1"/>
        <v>126000</v>
      </c>
      <c r="J16" s="52">
        <f t="shared" si="1"/>
        <v>164000</v>
      </c>
      <c r="K16" s="52">
        <f t="shared" si="1"/>
        <v>204000</v>
      </c>
      <c r="L16" s="52">
        <f t="shared" si="1"/>
        <v>231000</v>
      </c>
      <c r="M16" s="52">
        <f t="shared" si="1"/>
        <v>258000</v>
      </c>
      <c r="N16" s="52">
        <f t="shared" si="1"/>
        <v>279000</v>
      </c>
      <c r="O16" s="52">
        <f t="shared" si="1"/>
        <v>300000</v>
      </c>
    </row>
    <row r="17">
      <c r="B17" s="31"/>
      <c r="C17" s="35" t="s">
        <v>58</v>
      </c>
      <c r="D17" s="52">
        <f>'Detalle de Costos'!C30</f>
        <v>12000</v>
      </c>
      <c r="E17" s="52">
        <f>'Detalle de Costos'!D30</f>
        <v>12000</v>
      </c>
      <c r="F17" s="52">
        <v>18000.0</v>
      </c>
      <c r="G17" s="52">
        <v>18000.0</v>
      </c>
      <c r="H17" s="52">
        <f>'Detalle de Costos'!G30</f>
        <v>0</v>
      </c>
      <c r="I17" s="52">
        <f>'Detalle de Costos'!H30</f>
        <v>0</v>
      </c>
      <c r="J17" s="52">
        <f>'Detalle de Costos'!I30</f>
        <v>0</v>
      </c>
      <c r="K17" s="52">
        <f>'Detalle de Costos'!J30</f>
        <v>0</v>
      </c>
      <c r="L17" s="52">
        <f>'Detalle de Costos'!K30</f>
        <v>0</v>
      </c>
      <c r="M17" s="52">
        <f>'Detalle de Costos'!L30</f>
        <v>0</v>
      </c>
      <c r="N17" s="52">
        <f>'Detalle de Costos'!M30</f>
        <v>0</v>
      </c>
      <c r="O17" s="52">
        <f>'Detalle de Costos'!N30</f>
        <v>0</v>
      </c>
    </row>
    <row r="18">
      <c r="B18" s="31"/>
      <c r="C18" s="35" t="s">
        <v>59</v>
      </c>
      <c r="D18" s="52">
        <f>D17</f>
        <v>12000</v>
      </c>
      <c r="E18" s="52">
        <f t="shared" ref="E18:G18" si="2">D18+E17</f>
        <v>24000</v>
      </c>
      <c r="F18" s="52">
        <f t="shared" si="2"/>
        <v>42000</v>
      </c>
      <c r="G18" s="52">
        <f t="shared" si="2"/>
        <v>60000</v>
      </c>
      <c r="H18" s="70">
        <v>0.0</v>
      </c>
      <c r="I18" s="52">
        <f t="shared" ref="I18:O18" si="3">I17+H17</f>
        <v>0</v>
      </c>
      <c r="J18" s="52">
        <f t="shared" si="3"/>
        <v>0</v>
      </c>
      <c r="K18" s="52">
        <f t="shared" si="3"/>
        <v>0</v>
      </c>
      <c r="L18" s="52">
        <f t="shared" si="3"/>
        <v>0</v>
      </c>
      <c r="M18" s="52">
        <f t="shared" si="3"/>
        <v>0</v>
      </c>
      <c r="N18" s="52">
        <f t="shared" si="3"/>
        <v>0</v>
      </c>
      <c r="O18" s="52">
        <f t="shared" si="3"/>
        <v>0</v>
      </c>
    </row>
    <row r="19">
      <c r="B19" s="31"/>
      <c r="O19" s="32"/>
    </row>
    <row r="20">
      <c r="B20" s="31"/>
      <c r="O20" s="32"/>
    </row>
    <row r="21" ht="15.75" customHeight="1">
      <c r="B21" s="31"/>
      <c r="C21" s="53"/>
      <c r="D21" s="54"/>
      <c r="E21" s="55"/>
      <c r="O21" s="32"/>
    </row>
    <row r="22" ht="15.75" customHeight="1">
      <c r="B22" s="31"/>
      <c r="O22" s="32"/>
    </row>
    <row r="23" ht="15.75" customHeight="1">
      <c r="B23" s="31"/>
      <c r="O23" s="32"/>
    </row>
    <row r="24" ht="15.75" customHeight="1">
      <c r="B24" s="31"/>
      <c r="O24" s="32"/>
    </row>
    <row r="25" ht="15.75" customHeight="1">
      <c r="B25" s="31"/>
      <c r="O25" s="32"/>
    </row>
    <row r="26" ht="15.75" customHeight="1">
      <c r="B26" s="31"/>
      <c r="O26" s="32"/>
    </row>
    <row r="27" ht="15.75" customHeight="1">
      <c r="B27" s="31"/>
      <c r="O27" s="32"/>
    </row>
    <row r="28" ht="15.75" customHeight="1">
      <c r="B28" s="31"/>
      <c r="O28" s="32"/>
    </row>
    <row r="29" ht="15.75" customHeight="1">
      <c r="B29" s="31"/>
      <c r="O29" s="32"/>
    </row>
    <row r="30" ht="15.75" customHeight="1">
      <c r="B30" s="31"/>
      <c r="O30" s="32"/>
    </row>
    <row r="31" ht="15.75" customHeight="1">
      <c r="B31" s="31"/>
      <c r="O31" s="32"/>
    </row>
    <row r="32" ht="15.75" customHeight="1">
      <c r="B32" s="31"/>
      <c r="O32" s="32"/>
    </row>
    <row r="33" ht="15.75" customHeight="1">
      <c r="B33" s="31"/>
      <c r="O33" s="32"/>
    </row>
    <row r="34" ht="15.75" customHeight="1">
      <c r="B34" s="31"/>
      <c r="O34" s="32"/>
    </row>
    <row r="35" ht="15.75" customHeight="1">
      <c r="B35" s="31"/>
      <c r="O35" s="32"/>
    </row>
    <row r="36" ht="15.75" customHeight="1">
      <c r="B36" s="31"/>
      <c r="O36" s="32"/>
    </row>
    <row r="37" ht="15.75" customHeight="1">
      <c r="B37" s="31"/>
      <c r="O37" s="32"/>
    </row>
    <row r="38" ht="15.75" customHeight="1">
      <c r="B38" s="31"/>
      <c r="O38" s="32"/>
    </row>
    <row r="39" ht="15.75" customHeight="1">
      <c r="B39" s="31"/>
      <c r="O39" s="32"/>
    </row>
    <row r="40" ht="15.75" customHeight="1">
      <c r="B40" s="31"/>
      <c r="O40" s="32"/>
    </row>
    <row r="41" ht="15.75" customHeight="1">
      <c r="B41" s="31"/>
      <c r="O41" s="32"/>
    </row>
    <row r="42" ht="15.75" customHeight="1">
      <c r="B42" s="31"/>
      <c r="O42" s="32"/>
    </row>
    <row r="43" ht="15.75" customHeight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O7"/>
    <mergeCell ref="D10:O10"/>
    <mergeCell ref="D11:E11"/>
    <mergeCell ref="F11:G11"/>
    <mergeCell ref="H11:J11"/>
    <mergeCell ref="K11:L11"/>
    <mergeCell ref="M11:O11"/>
    <mergeCell ref="D13:O13"/>
  </mergeCells>
  <printOptions/>
  <pageMargins bottom="0.75" footer="0.0" header="0.0" left="0.7" right="0.7" top="0.75"/>
  <pageSetup scale="3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3" width="44.71"/>
    <col customWidth="1" min="4" max="4" width="16.71"/>
    <col customWidth="1" min="5" max="5" width="16.14"/>
    <col customWidth="1" min="6" max="6" width="17.43"/>
    <col customWidth="1" min="7" max="7" width="14.86"/>
    <col customWidth="1" min="8" max="8" width="14.43"/>
    <col customWidth="1" min="9" max="9" width="16.29"/>
    <col customWidth="1" min="10" max="12" width="16.43"/>
    <col customWidth="1" min="13" max="14" width="15.43"/>
    <col customWidth="1" min="15" max="15" width="16.71"/>
    <col customWidth="1" min="16" max="26" width="11.43"/>
  </cols>
  <sheetData>
    <row r="2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B3" s="31"/>
      <c r="O3" s="32"/>
    </row>
    <row r="4">
      <c r="B4" s="31"/>
      <c r="O4" s="32"/>
    </row>
    <row r="5">
      <c r="B5" s="31"/>
      <c r="O5" s="32"/>
    </row>
    <row r="6">
      <c r="B6" s="31"/>
      <c r="O6" s="32"/>
    </row>
    <row r="7">
      <c r="B7" s="31"/>
      <c r="C7" s="33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4"/>
    </row>
    <row r="8">
      <c r="B8" s="31"/>
      <c r="O8" s="32"/>
    </row>
    <row r="9">
      <c r="B9" s="31"/>
      <c r="C9" s="35" t="s">
        <v>46</v>
      </c>
      <c r="D9" s="36" t="s">
        <v>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>
      <c r="B10" s="31"/>
      <c r="C10" s="35" t="s">
        <v>47</v>
      </c>
      <c r="D10" s="39" t="s">
        <v>48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>
      <c r="B11" s="31"/>
      <c r="C11" s="35" t="s">
        <v>49</v>
      </c>
      <c r="D11" s="42" t="s">
        <v>50</v>
      </c>
      <c r="E11" s="43"/>
      <c r="F11" s="44" t="s">
        <v>51</v>
      </c>
      <c r="G11" s="43"/>
      <c r="H11" s="39" t="s">
        <v>52</v>
      </c>
      <c r="I11" s="40"/>
      <c r="J11" s="43"/>
      <c r="K11" s="44" t="s">
        <v>53</v>
      </c>
      <c r="L11" s="43"/>
      <c r="M11" s="42" t="s">
        <v>54</v>
      </c>
      <c r="N11" s="40"/>
      <c r="O11" s="41"/>
    </row>
    <row r="12">
      <c r="B12" s="3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</row>
    <row r="13">
      <c r="B13" s="31"/>
      <c r="C13" s="48"/>
      <c r="D13" s="49" t="s">
        <v>55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>
      <c r="B14" s="31"/>
      <c r="C14" s="50"/>
      <c r="D14" s="51">
        <v>1.0</v>
      </c>
      <c r="E14" s="51">
        <v>2.0</v>
      </c>
      <c r="F14" s="51">
        <v>3.0</v>
      </c>
      <c r="G14" s="51">
        <v>4.0</v>
      </c>
      <c r="H14" s="51">
        <v>5.0</v>
      </c>
      <c r="I14" s="51">
        <v>6.0</v>
      </c>
      <c r="J14" s="51">
        <v>7.0</v>
      </c>
      <c r="K14" s="51">
        <v>8.0</v>
      </c>
      <c r="L14" s="51">
        <v>9.0</v>
      </c>
      <c r="M14" s="51">
        <v>10.0</v>
      </c>
      <c r="N14" s="51">
        <v>11.0</v>
      </c>
      <c r="O14" s="51">
        <v>12.0</v>
      </c>
    </row>
    <row r="15">
      <c r="B15" s="31"/>
      <c r="C15" s="35" t="s">
        <v>56</v>
      </c>
      <c r="D15" s="52">
        <f>'Detalle de Costos'!C9</f>
        <v>12000</v>
      </c>
      <c r="E15" s="52">
        <f>'Detalle de Costos'!D9</f>
        <v>12000</v>
      </c>
      <c r="F15" s="52">
        <f>'Detalle de Costos'!E9</f>
        <v>18000</v>
      </c>
      <c r="G15" s="52">
        <f>'Detalle de Costos'!F9</f>
        <v>18000</v>
      </c>
      <c r="H15" s="52">
        <f>'Detalle de Costos'!G9</f>
        <v>33000</v>
      </c>
      <c r="I15" s="52">
        <f>'Detalle de Costos'!H9</f>
        <v>33000</v>
      </c>
      <c r="J15" s="52">
        <f>'Detalle de Costos'!I9</f>
        <v>38000</v>
      </c>
      <c r="K15" s="52">
        <f>'Detalle de Costos'!J9</f>
        <v>40000</v>
      </c>
      <c r="L15" s="52">
        <f>'Detalle de Costos'!K9</f>
        <v>27000</v>
      </c>
      <c r="M15" s="52">
        <f>'Detalle de Costos'!L9</f>
        <v>27000</v>
      </c>
      <c r="N15" s="52">
        <f>'Detalle de Costos'!M9</f>
        <v>21000</v>
      </c>
      <c r="O15" s="52">
        <f>'Detalle de Costos'!N9</f>
        <v>21000</v>
      </c>
    </row>
    <row r="16">
      <c r="B16" s="31"/>
      <c r="C16" s="35" t="s">
        <v>57</v>
      </c>
      <c r="D16" s="52">
        <f>D15</f>
        <v>12000</v>
      </c>
      <c r="E16" s="52">
        <f t="shared" ref="E16:O16" si="1">E15+D16</f>
        <v>24000</v>
      </c>
      <c r="F16" s="52">
        <f t="shared" si="1"/>
        <v>42000</v>
      </c>
      <c r="G16" s="52">
        <f t="shared" si="1"/>
        <v>60000</v>
      </c>
      <c r="H16" s="52">
        <f t="shared" si="1"/>
        <v>93000</v>
      </c>
      <c r="I16" s="52">
        <f t="shared" si="1"/>
        <v>126000</v>
      </c>
      <c r="J16" s="52">
        <f t="shared" si="1"/>
        <v>164000</v>
      </c>
      <c r="K16" s="52">
        <f t="shared" si="1"/>
        <v>204000</v>
      </c>
      <c r="L16" s="52">
        <f t="shared" si="1"/>
        <v>231000</v>
      </c>
      <c r="M16" s="52">
        <f t="shared" si="1"/>
        <v>258000</v>
      </c>
      <c r="N16" s="52">
        <f t="shared" si="1"/>
        <v>279000</v>
      </c>
      <c r="O16" s="52">
        <f t="shared" si="1"/>
        <v>300000</v>
      </c>
    </row>
    <row r="17">
      <c r="B17" s="31"/>
      <c r="C17" s="35" t="s">
        <v>58</v>
      </c>
      <c r="D17" s="52">
        <f>'Detalle de Costos'!C30</f>
        <v>12000</v>
      </c>
      <c r="E17" s="52">
        <f>'Detalle de Costos'!D30</f>
        <v>12000</v>
      </c>
      <c r="F17" s="52">
        <v>18000.0</v>
      </c>
      <c r="G17" s="52">
        <v>18000.0</v>
      </c>
      <c r="H17" s="70">
        <v>33000.0</v>
      </c>
      <c r="I17" s="70">
        <v>33000.0</v>
      </c>
      <c r="J17" s="52">
        <f>'Detalle de Costos'!I30</f>
        <v>0</v>
      </c>
      <c r="K17" s="52">
        <f>'Detalle de Costos'!J30</f>
        <v>0</v>
      </c>
      <c r="L17" s="52">
        <f>'Detalle de Costos'!K30</f>
        <v>0</v>
      </c>
      <c r="M17" s="52">
        <f>'Detalle de Costos'!L30</f>
        <v>0</v>
      </c>
      <c r="N17" s="52">
        <f>'Detalle de Costos'!M30</f>
        <v>0</v>
      </c>
      <c r="O17" s="52">
        <f>'Detalle de Costos'!N30</f>
        <v>0</v>
      </c>
    </row>
    <row r="18">
      <c r="B18" s="31"/>
      <c r="C18" s="35" t="s">
        <v>59</v>
      </c>
      <c r="D18" s="52">
        <f>D17</f>
        <v>12000</v>
      </c>
      <c r="E18" s="52">
        <f t="shared" ref="E18:H18" si="2">D18+E17</f>
        <v>24000</v>
      </c>
      <c r="F18" s="52">
        <f t="shared" si="2"/>
        <v>42000</v>
      </c>
      <c r="G18" s="52">
        <f t="shared" si="2"/>
        <v>60000</v>
      </c>
      <c r="H18" s="52">
        <f t="shared" si="2"/>
        <v>93000</v>
      </c>
      <c r="I18" s="52">
        <f t="shared" ref="I18:J18" si="3">I17+H18</f>
        <v>126000</v>
      </c>
      <c r="J18" s="52">
        <f t="shared" si="3"/>
        <v>126000</v>
      </c>
      <c r="K18" s="52">
        <f t="shared" ref="K18:O18" si="4">K17+J17</f>
        <v>0</v>
      </c>
      <c r="L18" s="52">
        <f t="shared" si="4"/>
        <v>0</v>
      </c>
      <c r="M18" s="52">
        <f t="shared" si="4"/>
        <v>0</v>
      </c>
      <c r="N18" s="52">
        <f t="shared" si="4"/>
        <v>0</v>
      </c>
      <c r="O18" s="52">
        <f t="shared" si="4"/>
        <v>0</v>
      </c>
    </row>
    <row r="19">
      <c r="B19" s="31"/>
      <c r="O19" s="32"/>
    </row>
    <row r="20">
      <c r="B20" s="31"/>
      <c r="O20" s="32"/>
    </row>
    <row r="21" ht="15.75" customHeight="1">
      <c r="B21" s="31"/>
      <c r="C21" s="53"/>
      <c r="D21" s="54"/>
      <c r="E21" s="55"/>
      <c r="O21" s="32"/>
    </row>
    <row r="22" ht="15.75" customHeight="1">
      <c r="B22" s="31"/>
      <c r="O22" s="32"/>
    </row>
    <row r="23" ht="15.75" customHeight="1">
      <c r="B23" s="31"/>
      <c r="O23" s="32"/>
    </row>
    <row r="24" ht="15.75" customHeight="1">
      <c r="B24" s="31"/>
      <c r="O24" s="32"/>
    </row>
    <row r="25" ht="15.75" customHeight="1">
      <c r="B25" s="31"/>
      <c r="O25" s="32"/>
    </row>
    <row r="26" ht="15.75" customHeight="1">
      <c r="B26" s="31"/>
      <c r="O26" s="32"/>
    </row>
    <row r="27" ht="15.75" customHeight="1">
      <c r="B27" s="31"/>
      <c r="O27" s="32"/>
    </row>
    <row r="28" ht="15.75" customHeight="1">
      <c r="B28" s="31"/>
      <c r="O28" s="32"/>
    </row>
    <row r="29" ht="15.75" customHeight="1">
      <c r="B29" s="31"/>
      <c r="O29" s="32"/>
    </row>
    <row r="30" ht="15.75" customHeight="1">
      <c r="B30" s="31"/>
      <c r="O30" s="32"/>
    </row>
    <row r="31" ht="15.75" customHeight="1">
      <c r="B31" s="31"/>
      <c r="O31" s="32"/>
    </row>
    <row r="32" ht="15.75" customHeight="1">
      <c r="B32" s="31"/>
      <c r="O32" s="32"/>
    </row>
    <row r="33" ht="15.75" customHeight="1">
      <c r="B33" s="31"/>
      <c r="O33" s="32"/>
    </row>
    <row r="34" ht="15.75" customHeight="1">
      <c r="B34" s="31"/>
      <c r="O34" s="32"/>
    </row>
    <row r="35" ht="15.75" customHeight="1">
      <c r="B35" s="31"/>
      <c r="O35" s="32"/>
    </row>
    <row r="36" ht="15.75" customHeight="1">
      <c r="B36" s="31"/>
      <c r="O36" s="32"/>
    </row>
    <row r="37" ht="15.75" customHeight="1">
      <c r="B37" s="31"/>
      <c r="O37" s="32"/>
    </row>
    <row r="38" ht="15.75" customHeight="1">
      <c r="B38" s="31"/>
      <c r="O38" s="32"/>
    </row>
    <row r="39" ht="15.75" customHeight="1">
      <c r="B39" s="31"/>
      <c r="O39" s="32"/>
    </row>
    <row r="40" ht="15.75" customHeight="1">
      <c r="B40" s="31"/>
      <c r="O40" s="32"/>
    </row>
    <row r="41" ht="15.75" customHeight="1">
      <c r="B41" s="31"/>
      <c r="O41" s="32"/>
    </row>
    <row r="42" ht="15.75" customHeight="1">
      <c r="B42" s="31"/>
      <c r="O42" s="32"/>
    </row>
    <row r="43" ht="15.75" customHeight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O7"/>
    <mergeCell ref="D10:O10"/>
    <mergeCell ref="D11:E11"/>
    <mergeCell ref="F11:G11"/>
    <mergeCell ref="H11:J11"/>
    <mergeCell ref="K11:L11"/>
    <mergeCell ref="M11:O11"/>
    <mergeCell ref="D13:O13"/>
  </mergeCells>
  <printOptions/>
  <pageMargins bottom="0.75" footer="0.0" header="0.0" left="0.7" right="0.7" top="0.75"/>
  <pageSetup scale="3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3" width="44.71"/>
    <col customWidth="1" min="4" max="4" width="16.71"/>
    <col customWidth="1" min="5" max="5" width="16.14"/>
    <col customWidth="1" min="6" max="6" width="17.43"/>
    <col customWidth="1" min="7" max="7" width="14.86"/>
    <col customWidth="1" min="8" max="8" width="14.43"/>
    <col customWidth="1" min="9" max="9" width="16.29"/>
    <col customWidth="1" min="10" max="12" width="16.43"/>
    <col customWidth="1" min="13" max="14" width="15.43"/>
    <col customWidth="1" min="15" max="15" width="16.71"/>
    <col customWidth="1" min="16" max="26" width="11.43"/>
  </cols>
  <sheetData>
    <row r="2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>
      <c r="B3" s="31"/>
      <c r="O3" s="32"/>
    </row>
    <row r="4">
      <c r="B4" s="31"/>
      <c r="O4" s="32"/>
    </row>
    <row r="5">
      <c r="B5" s="31"/>
      <c r="O5" s="32"/>
    </row>
    <row r="6">
      <c r="B6" s="31"/>
      <c r="O6" s="32"/>
    </row>
    <row r="7">
      <c r="B7" s="31"/>
      <c r="C7" s="33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4"/>
    </row>
    <row r="8">
      <c r="B8" s="31"/>
      <c r="O8" s="32"/>
    </row>
    <row r="9">
      <c r="B9" s="31"/>
      <c r="C9" s="35" t="s">
        <v>46</v>
      </c>
      <c r="D9" s="36" t="s">
        <v>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>
      <c r="B10" s="31"/>
      <c r="C10" s="35" t="s">
        <v>47</v>
      </c>
      <c r="D10" s="39" t="s">
        <v>48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>
      <c r="B11" s="31"/>
      <c r="C11" s="35" t="s">
        <v>49</v>
      </c>
      <c r="D11" s="42" t="s">
        <v>50</v>
      </c>
      <c r="E11" s="43"/>
      <c r="F11" s="44" t="s">
        <v>51</v>
      </c>
      <c r="G11" s="43"/>
      <c r="H11" s="39" t="s">
        <v>52</v>
      </c>
      <c r="I11" s="40"/>
      <c r="J11" s="43"/>
      <c r="K11" s="44" t="s">
        <v>53</v>
      </c>
      <c r="L11" s="43"/>
      <c r="M11" s="71">
        <v>46134.0</v>
      </c>
      <c r="N11" s="40"/>
      <c r="O11" s="41"/>
    </row>
    <row r="12">
      <c r="B12" s="3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</row>
    <row r="13">
      <c r="B13" s="31"/>
      <c r="C13" s="48"/>
      <c r="D13" s="49" t="s">
        <v>55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>
      <c r="B14" s="31"/>
      <c r="C14" s="50"/>
      <c r="D14" s="51">
        <v>1.0</v>
      </c>
      <c r="E14" s="51">
        <v>2.0</v>
      </c>
      <c r="F14" s="51">
        <v>3.0</v>
      </c>
      <c r="G14" s="51">
        <v>4.0</v>
      </c>
      <c r="H14" s="51">
        <v>5.0</v>
      </c>
      <c r="I14" s="51">
        <v>6.0</v>
      </c>
      <c r="J14" s="51">
        <v>7.0</v>
      </c>
      <c r="K14" s="51">
        <v>8.0</v>
      </c>
      <c r="L14" s="51">
        <v>9.0</v>
      </c>
      <c r="M14" s="51">
        <v>10.0</v>
      </c>
      <c r="N14" s="51">
        <v>11.0</v>
      </c>
      <c r="O14" s="51">
        <v>12.0</v>
      </c>
    </row>
    <row r="15">
      <c r="B15" s="31"/>
      <c r="C15" s="35" t="s">
        <v>56</v>
      </c>
      <c r="D15" s="52">
        <f>'Detalle de Costos'!C9</f>
        <v>12000</v>
      </c>
      <c r="E15" s="52">
        <f>'Detalle de Costos'!D9</f>
        <v>12000</v>
      </c>
      <c r="F15" s="52">
        <f>'Detalle de Costos'!E9</f>
        <v>18000</v>
      </c>
      <c r="G15" s="52">
        <f>'Detalle de Costos'!F9</f>
        <v>18000</v>
      </c>
      <c r="H15" s="52">
        <f>'Detalle de Costos'!G9</f>
        <v>33000</v>
      </c>
      <c r="I15" s="52">
        <f>'Detalle de Costos'!H9</f>
        <v>33000</v>
      </c>
      <c r="J15" s="52">
        <f>'Detalle de Costos'!I9</f>
        <v>38000</v>
      </c>
      <c r="K15" s="52">
        <f>'Detalle de Costos'!J9</f>
        <v>40000</v>
      </c>
      <c r="L15" s="52">
        <f>'Detalle de Costos'!K9</f>
        <v>27000</v>
      </c>
      <c r="M15" s="52">
        <f>'Detalle de Costos'!L9</f>
        <v>27000</v>
      </c>
      <c r="N15" s="52">
        <f>'Detalle de Costos'!M9</f>
        <v>21000</v>
      </c>
      <c r="O15" s="52">
        <f>'Detalle de Costos'!N9</f>
        <v>21000</v>
      </c>
    </row>
    <row r="16">
      <c r="B16" s="31"/>
      <c r="C16" s="35" t="s">
        <v>57</v>
      </c>
      <c r="D16" s="52">
        <f>D15</f>
        <v>12000</v>
      </c>
      <c r="E16" s="52">
        <f t="shared" ref="E16:O16" si="1">E15+D16</f>
        <v>24000</v>
      </c>
      <c r="F16" s="52">
        <f t="shared" si="1"/>
        <v>42000</v>
      </c>
      <c r="G16" s="52">
        <f t="shared" si="1"/>
        <v>60000</v>
      </c>
      <c r="H16" s="52">
        <f t="shared" si="1"/>
        <v>93000</v>
      </c>
      <c r="I16" s="52">
        <f t="shared" si="1"/>
        <v>126000</v>
      </c>
      <c r="J16" s="52">
        <f t="shared" si="1"/>
        <v>164000</v>
      </c>
      <c r="K16" s="52">
        <f t="shared" si="1"/>
        <v>204000</v>
      </c>
      <c r="L16" s="52">
        <f t="shared" si="1"/>
        <v>231000</v>
      </c>
      <c r="M16" s="52">
        <f t="shared" si="1"/>
        <v>258000</v>
      </c>
      <c r="N16" s="52">
        <f t="shared" si="1"/>
        <v>279000</v>
      </c>
      <c r="O16" s="52">
        <f t="shared" si="1"/>
        <v>300000</v>
      </c>
    </row>
    <row r="17">
      <c r="B17" s="31"/>
      <c r="C17" s="35" t="s">
        <v>58</v>
      </c>
      <c r="D17" s="52">
        <f>'Detalle de Costos'!C30</f>
        <v>12000</v>
      </c>
      <c r="E17" s="52">
        <f>'Detalle de Costos'!D30</f>
        <v>12000</v>
      </c>
      <c r="F17" s="52">
        <v>18000.0</v>
      </c>
      <c r="G17" s="52">
        <v>18000.0</v>
      </c>
      <c r="H17" s="70">
        <v>33000.0</v>
      </c>
      <c r="I17" s="70">
        <v>33000.0</v>
      </c>
      <c r="J17" s="70">
        <v>38000.0</v>
      </c>
      <c r="K17" s="70">
        <v>40000.0</v>
      </c>
      <c r="L17" s="52">
        <f>'Detalle de Costos'!K30</f>
        <v>0</v>
      </c>
      <c r="M17" s="52">
        <f>'Detalle de Costos'!L30</f>
        <v>0</v>
      </c>
      <c r="N17" s="52">
        <f>'Detalle de Costos'!M30</f>
        <v>0</v>
      </c>
      <c r="O17" s="52">
        <f>'Detalle de Costos'!N30</f>
        <v>0</v>
      </c>
    </row>
    <row r="18">
      <c r="B18" s="31"/>
      <c r="C18" s="35" t="s">
        <v>59</v>
      </c>
      <c r="D18" s="52">
        <f>D17</f>
        <v>12000</v>
      </c>
      <c r="E18" s="52">
        <f t="shared" ref="E18:H18" si="2">D18+E17</f>
        <v>24000</v>
      </c>
      <c r="F18" s="52">
        <f t="shared" si="2"/>
        <v>42000</v>
      </c>
      <c r="G18" s="52">
        <f t="shared" si="2"/>
        <v>60000</v>
      </c>
      <c r="H18" s="52">
        <f t="shared" si="2"/>
        <v>93000</v>
      </c>
      <c r="I18" s="52">
        <f t="shared" ref="I18:L18" si="3">I17+H18</f>
        <v>126000</v>
      </c>
      <c r="J18" s="52">
        <f t="shared" si="3"/>
        <v>164000</v>
      </c>
      <c r="K18" s="52">
        <f t="shared" si="3"/>
        <v>204000</v>
      </c>
      <c r="L18" s="52">
        <f t="shared" si="3"/>
        <v>204000</v>
      </c>
      <c r="M18" s="52">
        <f t="shared" ref="M18:O18" si="4">M17+L17</f>
        <v>0</v>
      </c>
      <c r="N18" s="52">
        <f t="shared" si="4"/>
        <v>0</v>
      </c>
      <c r="O18" s="52">
        <f t="shared" si="4"/>
        <v>0</v>
      </c>
    </row>
    <row r="19">
      <c r="B19" s="31"/>
      <c r="O19" s="32"/>
    </row>
    <row r="20">
      <c r="B20" s="31"/>
      <c r="O20" s="32"/>
    </row>
    <row r="21" ht="15.75" customHeight="1">
      <c r="B21" s="31"/>
      <c r="C21" s="53"/>
      <c r="D21" s="54"/>
      <c r="E21" s="55"/>
      <c r="O21" s="32"/>
    </row>
    <row r="22" ht="15.75" customHeight="1">
      <c r="B22" s="31"/>
      <c r="O22" s="32"/>
    </row>
    <row r="23" ht="15.75" customHeight="1">
      <c r="B23" s="31"/>
      <c r="O23" s="32"/>
    </row>
    <row r="24" ht="15.75" customHeight="1">
      <c r="B24" s="31"/>
      <c r="O24" s="32"/>
    </row>
    <row r="25" ht="15.75" customHeight="1">
      <c r="B25" s="31"/>
      <c r="O25" s="32"/>
    </row>
    <row r="26" ht="15.75" customHeight="1">
      <c r="B26" s="31"/>
      <c r="O26" s="32"/>
    </row>
    <row r="27" ht="15.75" customHeight="1">
      <c r="B27" s="31"/>
      <c r="O27" s="32"/>
    </row>
    <row r="28" ht="15.75" customHeight="1">
      <c r="B28" s="31"/>
      <c r="O28" s="32"/>
    </row>
    <row r="29" ht="15.75" customHeight="1">
      <c r="B29" s="31"/>
      <c r="O29" s="32"/>
    </row>
    <row r="30" ht="15.75" customHeight="1">
      <c r="B30" s="31"/>
      <c r="O30" s="32"/>
    </row>
    <row r="31" ht="15.75" customHeight="1">
      <c r="B31" s="31"/>
      <c r="O31" s="32"/>
    </row>
    <row r="32" ht="15.75" customHeight="1">
      <c r="B32" s="31"/>
      <c r="O32" s="32"/>
    </row>
    <row r="33" ht="15.75" customHeight="1">
      <c r="B33" s="31"/>
      <c r="O33" s="32"/>
    </row>
    <row r="34" ht="15.75" customHeight="1">
      <c r="B34" s="31"/>
      <c r="O34" s="32"/>
    </row>
    <row r="35" ht="15.75" customHeight="1">
      <c r="B35" s="31"/>
      <c r="O35" s="32"/>
    </row>
    <row r="36" ht="15.75" customHeight="1">
      <c r="B36" s="31"/>
      <c r="O36" s="32"/>
    </row>
    <row r="37" ht="15.75" customHeight="1">
      <c r="B37" s="31"/>
      <c r="O37" s="32"/>
    </row>
    <row r="38" ht="15.75" customHeight="1">
      <c r="B38" s="31"/>
      <c r="O38" s="32"/>
    </row>
    <row r="39" ht="15.75" customHeight="1">
      <c r="B39" s="31"/>
      <c r="O39" s="32"/>
    </row>
    <row r="40" ht="15.75" customHeight="1">
      <c r="B40" s="31"/>
      <c r="O40" s="32"/>
    </row>
    <row r="41" ht="15.75" customHeight="1">
      <c r="B41" s="31"/>
      <c r="O41" s="32"/>
    </row>
    <row r="42" ht="15.75" customHeight="1">
      <c r="B42" s="31"/>
      <c r="O42" s="32"/>
    </row>
    <row r="43" ht="15.75" customHeight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O7"/>
    <mergeCell ref="D10:O10"/>
    <mergeCell ref="D11:E11"/>
    <mergeCell ref="F11:G11"/>
    <mergeCell ref="H11:J11"/>
    <mergeCell ref="K11:L11"/>
    <mergeCell ref="M11:O11"/>
    <mergeCell ref="D13:O13"/>
  </mergeCells>
  <printOptions/>
  <pageMargins bottom="0.75" footer="0.0" header="0.0" left="0.7" right="0.7" top="0.75"/>
  <pageSetup scale="3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2012-05-23T17:29:07Z</dcterms:created>
  <dc:creator>hrizo</dc:creator>
</cp:coreProperties>
</file>